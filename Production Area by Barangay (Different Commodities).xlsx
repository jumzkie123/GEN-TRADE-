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USTP Balubal\Research\Molave\LGU Dataset\"/>
    </mc:Choice>
  </mc:AlternateContent>
  <xr:revisionPtr revIDLastSave="0" documentId="13_ncr:1_{3EBD8F33-1A22-4314-9B2C-61ABB7BC564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duction Area per Barangay (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AJ2" i="1"/>
  <c r="V28" i="1"/>
  <c r="T28" i="1"/>
  <c r="H28" i="1"/>
  <c r="G28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U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R28" i="1"/>
  <c r="S28" i="1"/>
  <c r="N28" i="1"/>
  <c r="O28" i="1"/>
  <c r="P28" i="1"/>
  <c r="Q28" i="1"/>
  <c r="M28" i="1"/>
  <c r="L28" i="1"/>
  <c r="J28" i="1"/>
  <c r="K28" i="1"/>
  <c r="I28" i="1"/>
  <c r="C35" i="2"/>
  <c r="B35" i="2"/>
  <c r="D28" i="1"/>
  <c r="B28" i="1"/>
  <c r="AJ27" i="1" l="1"/>
  <c r="AJ28" i="1"/>
</calcChain>
</file>

<file path=xl/sharedStrings.xml><?xml version="1.0" encoding="utf-8"?>
<sst xmlns="http://schemas.openxmlformats.org/spreadsheetml/2006/main" count="113" uniqueCount="69">
  <si>
    <t>Republic of the Philippines</t>
  </si>
  <si>
    <t>Western Mindanao, Region IX</t>
  </si>
  <si>
    <t>Province of Zamboanga del Sur</t>
  </si>
  <si>
    <t>Municipality of Molave</t>
  </si>
  <si>
    <t>MUNICIPAL AGRICULTURE OFFICE</t>
  </si>
  <si>
    <t>Name of Barangay</t>
  </si>
  <si>
    <t>Land Area (Ha)</t>
  </si>
  <si>
    <t>Coconut (Ha)</t>
  </si>
  <si>
    <t>Rice (Ha)</t>
  </si>
  <si>
    <t>Corn (Ha)</t>
  </si>
  <si>
    <t>Rubber (Ha)</t>
  </si>
  <si>
    <t>Coffee (Ha)</t>
  </si>
  <si>
    <t>Cacao (Ha)</t>
  </si>
  <si>
    <t>Banana (Ha)</t>
  </si>
  <si>
    <t>Mango (Ha)</t>
  </si>
  <si>
    <t>Calamansi (Ha)</t>
  </si>
  <si>
    <t>Lansones (Ha)</t>
  </si>
  <si>
    <t>Durian (Ha)</t>
  </si>
  <si>
    <t>Rambutan (Ha)</t>
  </si>
  <si>
    <t>Mangosteen (Ha)</t>
  </si>
  <si>
    <t>Dragon Fruit (Ha)</t>
  </si>
  <si>
    <t>Cassava (Ha)</t>
  </si>
  <si>
    <t>Camote (Ha)</t>
  </si>
  <si>
    <t>Ubi (Ha)</t>
  </si>
  <si>
    <t>Eggplant (Ha)</t>
  </si>
  <si>
    <t>Ampalaya (Ha)</t>
  </si>
  <si>
    <t>Okra (Ha)</t>
  </si>
  <si>
    <t>Stringbean (Ha)</t>
  </si>
  <si>
    <t>Squash (Ha)</t>
  </si>
  <si>
    <t>Mongo (Ha)</t>
  </si>
  <si>
    <t>Soybeans (Ha)</t>
  </si>
  <si>
    <t>Hot Pepper (Ha)</t>
  </si>
  <si>
    <t>Sweet Pepper (Ha)</t>
  </si>
  <si>
    <t>Ginger (Ha)</t>
  </si>
  <si>
    <t>Tomato (Ha)</t>
  </si>
  <si>
    <t>Falcata (Ha)</t>
  </si>
  <si>
    <t>Abaca (Ha)</t>
  </si>
  <si>
    <t>Alicia</t>
  </si>
  <si>
    <t>Bag-ong Argao</t>
  </si>
  <si>
    <t>Bag-ong Ariosa</t>
  </si>
  <si>
    <t>Bag-ong Gutlang</t>
  </si>
  <si>
    <t>Blancia</t>
  </si>
  <si>
    <t>Bogo Capalaran</t>
  </si>
  <si>
    <t>Culo</t>
  </si>
  <si>
    <t>Dalaon</t>
  </si>
  <si>
    <t>Dipolo</t>
  </si>
  <si>
    <t>Dontulan</t>
  </si>
  <si>
    <t>Gonosan</t>
  </si>
  <si>
    <t>Lower Dimalinao</t>
  </si>
  <si>
    <t>Lower Dimorok</t>
  </si>
  <si>
    <t>Mabuhay</t>
  </si>
  <si>
    <t>Madasigon</t>
  </si>
  <si>
    <t>Makuguihon</t>
  </si>
  <si>
    <t>Maloloy-on</t>
  </si>
  <si>
    <t>Miligan</t>
  </si>
  <si>
    <t>Parasan</t>
  </si>
  <si>
    <t>Rizal</t>
  </si>
  <si>
    <t>Sto. Rosario</t>
  </si>
  <si>
    <t>Silangit</t>
  </si>
  <si>
    <t>Simata</t>
  </si>
  <si>
    <t>Sudlon</t>
  </si>
  <si>
    <t>Upper Dimorok</t>
  </si>
  <si>
    <t>Agricultural Land Area (Ha)</t>
  </si>
  <si>
    <t>Total</t>
  </si>
  <si>
    <t>PRODUCTION AREA BY BARANGAY CY 2024</t>
  </si>
  <si>
    <t>TOTAL</t>
  </si>
  <si>
    <t>Singkamas</t>
  </si>
  <si>
    <t>Land Area (Ha) from Farmers</t>
  </si>
  <si>
    <t>Agricultural Land Area (Ha) from Farmers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</si>
</sst>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4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abSelected="1" zoomScale="115" zoomScaleNormal="115" workbookViewId="0">
      <selection activeCell="E10" sqref="E10"/>
    </sheetView>
  </sheetViews>
  <sheetFormatPr defaultRowHeight="15" x14ac:dyDescent="0.25"/>
  <cols>
    <col min="1" max="1" width="16.28515625" customWidth="1"/>
    <col min="2" max="3" width="10.5703125" customWidth="1"/>
    <col min="4" max="5" width="12.7109375" customWidth="1"/>
    <col min="7" max="8" width="8.140625" customWidth="1"/>
    <col min="9" max="9" width="8" customWidth="1"/>
    <col min="10" max="10" width="8.140625" customWidth="1"/>
    <col min="11" max="11" width="7.85546875" customWidth="1"/>
    <col min="12" max="13" width="8.28515625" customWidth="1"/>
    <col min="14" max="14" width="8.7109375" customWidth="1"/>
    <col min="15" max="15" width="8.28515625" customWidth="1"/>
    <col min="16" max="16" width="7.85546875" customWidth="1"/>
    <col min="17" max="17" width="8.140625" customWidth="1"/>
    <col min="18" max="18" width="10" customWidth="1"/>
    <col min="19" max="19" width="8.28515625" customWidth="1"/>
  </cols>
  <sheetData>
    <row r="1" spans="1:36" s="6" customFormat="1" ht="36" x14ac:dyDescent="0.25">
      <c r="A1" s="9" t="s">
        <v>5</v>
      </c>
      <c r="B1" s="9" t="s">
        <v>6</v>
      </c>
      <c r="C1" s="14" t="s">
        <v>67</v>
      </c>
      <c r="D1" s="9" t="s">
        <v>62</v>
      </c>
      <c r="E1" s="14" t="s">
        <v>68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66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65</v>
      </c>
    </row>
    <row r="2" spans="1:36" x14ac:dyDescent="0.25">
      <c r="A2" s="10" t="s">
        <v>37</v>
      </c>
      <c r="B2" s="11">
        <v>1245.98</v>
      </c>
      <c r="C2" s="15"/>
      <c r="D2" s="10">
        <v>809.19</v>
      </c>
      <c r="E2" s="16"/>
      <c r="F2" s="2">
        <v>277.39</v>
      </c>
      <c r="G2" s="2">
        <v>2.5</v>
      </c>
      <c r="H2" s="2">
        <v>192.4</v>
      </c>
      <c r="I2" s="2">
        <v>20</v>
      </c>
      <c r="J2" s="2">
        <v>0.5</v>
      </c>
      <c r="K2" s="2">
        <v>1.85</v>
      </c>
      <c r="L2" s="2">
        <v>10.5</v>
      </c>
      <c r="M2" s="2">
        <v>1.5</v>
      </c>
      <c r="N2" s="2">
        <v>0</v>
      </c>
      <c r="O2" s="2">
        <v>0.75</v>
      </c>
      <c r="P2" s="2">
        <v>1.8</v>
      </c>
      <c r="Q2" s="2">
        <v>1.5</v>
      </c>
      <c r="R2" s="2">
        <v>0.02</v>
      </c>
      <c r="S2" s="2">
        <v>0</v>
      </c>
      <c r="T2" s="2">
        <v>2.5</v>
      </c>
      <c r="U2" s="2">
        <v>1</v>
      </c>
      <c r="V2" s="2"/>
      <c r="W2" s="2">
        <v>0</v>
      </c>
      <c r="X2" s="2">
        <v>0.5</v>
      </c>
      <c r="Y2" s="2">
        <v>0.4</v>
      </c>
      <c r="Z2" s="2">
        <v>0.3</v>
      </c>
      <c r="AA2" s="2">
        <v>1</v>
      </c>
      <c r="AB2" s="2">
        <v>1.5</v>
      </c>
      <c r="AC2" s="2">
        <v>0</v>
      </c>
      <c r="AD2" s="2">
        <v>0</v>
      </c>
      <c r="AE2" s="2">
        <v>0.01</v>
      </c>
      <c r="AF2" s="2">
        <v>0.1</v>
      </c>
      <c r="AG2" s="2">
        <v>0.1</v>
      </c>
      <c r="AH2" s="2">
        <v>0.05</v>
      </c>
      <c r="AI2" s="2">
        <v>10</v>
      </c>
      <c r="AJ2" s="2">
        <f>SUM(F2:AI2)</f>
        <v>528.16999999999996</v>
      </c>
    </row>
    <row r="3" spans="1:36" x14ac:dyDescent="0.25">
      <c r="A3" s="10" t="s">
        <v>38</v>
      </c>
      <c r="B3" s="11">
        <v>1001.11</v>
      </c>
      <c r="C3" s="15"/>
      <c r="D3" s="10">
        <v>604.27</v>
      </c>
      <c r="E3" s="16"/>
      <c r="F3" s="2">
        <v>335.53</v>
      </c>
      <c r="G3" s="2">
        <v>0</v>
      </c>
      <c r="H3" s="2">
        <v>147.22999999999999</v>
      </c>
      <c r="I3" s="2">
        <v>6.6</v>
      </c>
      <c r="J3" s="2">
        <v>0</v>
      </c>
      <c r="K3" s="2">
        <v>6.75</v>
      </c>
      <c r="L3" s="2">
        <v>5</v>
      </c>
      <c r="M3" s="2">
        <v>1</v>
      </c>
      <c r="N3" s="2">
        <v>0</v>
      </c>
      <c r="O3" s="2">
        <v>1</v>
      </c>
      <c r="P3" s="2">
        <v>0</v>
      </c>
      <c r="Q3" s="2">
        <v>0</v>
      </c>
      <c r="R3" s="2">
        <v>0.1</v>
      </c>
      <c r="S3" s="2">
        <v>0</v>
      </c>
      <c r="T3" s="2">
        <v>2.5</v>
      </c>
      <c r="U3" s="2">
        <v>0</v>
      </c>
      <c r="V3" s="2"/>
      <c r="W3" s="2">
        <v>0</v>
      </c>
      <c r="X3" s="2">
        <v>0.5</v>
      </c>
      <c r="Y3" s="2">
        <v>0.5</v>
      </c>
      <c r="Z3" s="2">
        <v>0.5</v>
      </c>
      <c r="AA3" s="2">
        <v>0</v>
      </c>
      <c r="AB3" s="2">
        <v>5</v>
      </c>
      <c r="AC3" s="2">
        <v>0.5</v>
      </c>
      <c r="AD3" s="2">
        <v>0</v>
      </c>
      <c r="AE3" s="2">
        <v>0.02</v>
      </c>
      <c r="AF3" s="2">
        <v>0.03</v>
      </c>
      <c r="AG3" s="2">
        <v>0.01</v>
      </c>
      <c r="AH3" s="2">
        <v>0.02</v>
      </c>
      <c r="AI3" s="2">
        <v>4</v>
      </c>
      <c r="AJ3" s="2">
        <f t="shared" ref="AJ3:AJ26" si="0">SUM(F3:AI3)</f>
        <v>516.79</v>
      </c>
    </row>
    <row r="4" spans="1:36" x14ac:dyDescent="0.25">
      <c r="A4" s="10" t="s">
        <v>39</v>
      </c>
      <c r="B4" s="11">
        <v>1085.18</v>
      </c>
      <c r="C4" s="15"/>
      <c r="D4" s="10">
        <v>913.52</v>
      </c>
      <c r="E4" s="16"/>
      <c r="F4" s="2">
        <v>143.41</v>
      </c>
      <c r="G4" s="2">
        <v>25</v>
      </c>
      <c r="H4" s="2">
        <v>217.4</v>
      </c>
      <c r="I4" s="2">
        <v>2</v>
      </c>
      <c r="J4" s="2">
        <v>0</v>
      </c>
      <c r="K4" s="2">
        <v>0</v>
      </c>
      <c r="L4" s="2">
        <v>5.5</v>
      </c>
      <c r="M4" s="2">
        <v>1</v>
      </c>
      <c r="N4" s="2">
        <v>0.25</v>
      </c>
      <c r="O4" s="2">
        <v>0.25</v>
      </c>
      <c r="P4" s="2">
        <v>1</v>
      </c>
      <c r="Q4" s="2">
        <v>0.25</v>
      </c>
      <c r="R4" s="2">
        <v>0</v>
      </c>
      <c r="S4" s="2">
        <v>0.75</v>
      </c>
      <c r="T4" s="2">
        <v>3</v>
      </c>
      <c r="U4" s="2">
        <v>0.5</v>
      </c>
      <c r="V4" s="2"/>
      <c r="W4" s="2">
        <v>0</v>
      </c>
      <c r="X4" s="2">
        <v>0.5</v>
      </c>
      <c r="Y4" s="2">
        <v>0.5</v>
      </c>
      <c r="Z4" s="2">
        <v>0.5</v>
      </c>
      <c r="AA4" s="2">
        <v>0.5</v>
      </c>
      <c r="AB4" s="2">
        <v>3</v>
      </c>
      <c r="AC4" s="2">
        <v>0</v>
      </c>
      <c r="AD4" s="2">
        <v>0</v>
      </c>
      <c r="AE4" s="2">
        <v>0.05</v>
      </c>
      <c r="AF4" s="2">
        <v>0.1</v>
      </c>
      <c r="AG4" s="2">
        <v>0.05</v>
      </c>
      <c r="AH4" s="2">
        <v>0.01</v>
      </c>
      <c r="AI4" s="2">
        <v>5</v>
      </c>
      <c r="AJ4" s="2">
        <f t="shared" si="0"/>
        <v>410.52000000000004</v>
      </c>
    </row>
    <row r="5" spans="1:36" x14ac:dyDescent="0.25">
      <c r="A5" s="10" t="s">
        <v>40</v>
      </c>
      <c r="B5" s="11">
        <v>1440.15</v>
      </c>
      <c r="C5" s="15"/>
      <c r="D5" s="10">
        <v>496.28</v>
      </c>
      <c r="E5" s="16"/>
      <c r="F5" s="2">
        <v>123.74</v>
      </c>
      <c r="G5" s="2">
        <v>21.07</v>
      </c>
      <c r="H5" s="2">
        <v>165.1</v>
      </c>
      <c r="I5" s="2">
        <v>3.4</v>
      </c>
      <c r="J5" s="2">
        <v>0</v>
      </c>
      <c r="K5" s="2">
        <v>0</v>
      </c>
      <c r="L5" s="2">
        <v>3</v>
      </c>
      <c r="M5" s="2">
        <v>1</v>
      </c>
      <c r="N5" s="2">
        <v>0</v>
      </c>
      <c r="O5" s="2">
        <v>0.5</v>
      </c>
      <c r="P5" s="2">
        <v>0.5</v>
      </c>
      <c r="Q5" s="2">
        <v>1</v>
      </c>
      <c r="R5" s="2">
        <v>0</v>
      </c>
      <c r="S5" s="2">
        <v>0</v>
      </c>
      <c r="T5" s="2">
        <v>1.6</v>
      </c>
      <c r="U5" s="2">
        <v>1</v>
      </c>
      <c r="V5" s="2"/>
      <c r="W5" s="2">
        <v>0</v>
      </c>
      <c r="X5" s="2">
        <v>1</v>
      </c>
      <c r="Y5" s="2">
        <v>0.5</v>
      </c>
      <c r="Z5" s="2">
        <v>0.5</v>
      </c>
      <c r="AA5" s="2">
        <v>0.5</v>
      </c>
      <c r="AB5" s="2">
        <v>7</v>
      </c>
      <c r="AC5" s="2">
        <v>0.5</v>
      </c>
      <c r="AD5" s="2">
        <v>0</v>
      </c>
      <c r="AE5" s="2">
        <v>0.03</v>
      </c>
      <c r="AF5" s="2">
        <v>0.03</v>
      </c>
      <c r="AG5" s="2">
        <v>0.03</v>
      </c>
      <c r="AH5" s="2">
        <v>0.01</v>
      </c>
      <c r="AI5" s="2">
        <v>2.5</v>
      </c>
      <c r="AJ5" s="2">
        <f t="shared" si="0"/>
        <v>334.50999999999988</v>
      </c>
    </row>
    <row r="6" spans="1:36" x14ac:dyDescent="0.25">
      <c r="A6" s="10" t="s">
        <v>41</v>
      </c>
      <c r="B6" s="11">
        <v>835.56</v>
      </c>
      <c r="C6" s="15"/>
      <c r="D6" s="10">
        <v>536.87</v>
      </c>
      <c r="E6" s="16"/>
      <c r="F6" s="2">
        <v>0</v>
      </c>
      <c r="G6" s="2">
        <v>277.76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2">
        <v>5</v>
      </c>
      <c r="N6" s="2">
        <v>0</v>
      </c>
      <c r="O6" s="2">
        <v>1</v>
      </c>
      <c r="P6" s="2">
        <v>0.1</v>
      </c>
      <c r="Q6" s="2">
        <v>0</v>
      </c>
      <c r="R6" s="2">
        <v>0.01</v>
      </c>
      <c r="S6" s="2">
        <v>0</v>
      </c>
      <c r="T6" s="2">
        <v>0</v>
      </c>
      <c r="U6" s="2">
        <v>0.1</v>
      </c>
      <c r="V6" s="2"/>
      <c r="W6" s="2">
        <v>0</v>
      </c>
      <c r="X6" s="2">
        <v>0.2</v>
      </c>
      <c r="Y6" s="2">
        <v>0.2</v>
      </c>
      <c r="Z6" s="2">
        <v>0.2</v>
      </c>
      <c r="AA6" s="2">
        <v>0.1</v>
      </c>
      <c r="AB6" s="2">
        <v>0</v>
      </c>
      <c r="AC6" s="2">
        <v>0</v>
      </c>
      <c r="AD6" s="2">
        <v>0</v>
      </c>
      <c r="AE6" s="2">
        <v>0.01</v>
      </c>
      <c r="AF6" s="2">
        <v>0.01</v>
      </c>
      <c r="AG6" s="2">
        <v>0.01</v>
      </c>
      <c r="AH6" s="2">
        <v>0.01</v>
      </c>
      <c r="AI6" s="2">
        <v>0</v>
      </c>
      <c r="AJ6" s="2">
        <f t="shared" si="0"/>
        <v>286.70999999999998</v>
      </c>
    </row>
    <row r="7" spans="1:36" x14ac:dyDescent="0.25">
      <c r="A7" s="10" t="s">
        <v>42</v>
      </c>
      <c r="B7" s="11">
        <v>739.4</v>
      </c>
      <c r="C7" s="15"/>
      <c r="D7" s="10">
        <v>306.58</v>
      </c>
      <c r="E7" s="16"/>
      <c r="F7" s="2">
        <v>109.71</v>
      </c>
      <c r="G7" s="2">
        <v>5</v>
      </c>
      <c r="H7" s="2">
        <v>85.4</v>
      </c>
      <c r="I7" s="2">
        <v>0</v>
      </c>
      <c r="J7" s="2">
        <v>1.4</v>
      </c>
      <c r="K7" s="2">
        <v>0</v>
      </c>
      <c r="L7" s="2">
        <v>3</v>
      </c>
      <c r="M7" s="2">
        <v>1.5</v>
      </c>
      <c r="N7" s="2">
        <v>0</v>
      </c>
      <c r="O7" s="2">
        <v>7</v>
      </c>
      <c r="P7" s="2">
        <v>0.5</v>
      </c>
      <c r="Q7" s="2">
        <v>1</v>
      </c>
      <c r="R7" s="2">
        <v>0.5</v>
      </c>
      <c r="S7" s="2">
        <v>0</v>
      </c>
      <c r="T7" s="2">
        <v>2.5</v>
      </c>
      <c r="U7" s="2">
        <v>0</v>
      </c>
      <c r="V7" s="2">
        <v>7</v>
      </c>
      <c r="W7" s="2">
        <v>0.25</v>
      </c>
      <c r="X7" s="2">
        <v>2</v>
      </c>
      <c r="Y7" s="2">
        <v>0.2</v>
      </c>
      <c r="Z7" s="2">
        <v>0.3</v>
      </c>
      <c r="AA7" s="2">
        <v>3</v>
      </c>
      <c r="AB7" s="2">
        <v>1</v>
      </c>
      <c r="AC7" s="2">
        <v>0.5</v>
      </c>
      <c r="AD7" s="2">
        <v>0</v>
      </c>
      <c r="AE7" s="2">
        <v>0</v>
      </c>
      <c r="AF7" s="2">
        <v>0.01</v>
      </c>
      <c r="AG7" s="2">
        <v>0.5</v>
      </c>
      <c r="AH7" s="2">
        <v>0.01</v>
      </c>
      <c r="AI7" s="2">
        <v>2</v>
      </c>
      <c r="AJ7" s="2">
        <f t="shared" si="0"/>
        <v>234.28</v>
      </c>
    </row>
    <row r="8" spans="1:36" x14ac:dyDescent="0.25">
      <c r="A8" s="10" t="s">
        <v>43</v>
      </c>
      <c r="B8" s="11">
        <v>890.52</v>
      </c>
      <c r="C8" s="15"/>
      <c r="D8" s="10">
        <v>268.17</v>
      </c>
      <c r="E8" s="16"/>
      <c r="F8" s="2">
        <v>0</v>
      </c>
      <c r="G8" s="2">
        <v>186.92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3</v>
      </c>
      <c r="N8" s="2">
        <v>0</v>
      </c>
      <c r="O8" s="2">
        <v>1</v>
      </c>
      <c r="P8" s="2">
        <v>1.5</v>
      </c>
      <c r="Q8" s="2">
        <v>1</v>
      </c>
      <c r="R8" s="2">
        <v>0.02</v>
      </c>
      <c r="S8" s="2">
        <v>0</v>
      </c>
      <c r="T8" s="2">
        <v>0</v>
      </c>
      <c r="U8" s="2">
        <v>0</v>
      </c>
      <c r="V8" s="2"/>
      <c r="W8" s="2">
        <v>0</v>
      </c>
      <c r="X8" s="2">
        <v>0.2</v>
      </c>
      <c r="Y8" s="2">
        <v>0.4</v>
      </c>
      <c r="Z8" s="2">
        <v>0.1</v>
      </c>
      <c r="AA8" s="2">
        <v>0.5</v>
      </c>
      <c r="AB8" s="2">
        <v>0.1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f t="shared" si="0"/>
        <v>195.73999999999998</v>
      </c>
    </row>
    <row r="9" spans="1:36" x14ac:dyDescent="0.25">
      <c r="A9" s="10" t="s">
        <v>44</v>
      </c>
      <c r="B9" s="11">
        <v>1111.6099999999999</v>
      </c>
      <c r="C9" s="15"/>
      <c r="D9" s="10">
        <v>872.38</v>
      </c>
      <c r="E9" s="16"/>
      <c r="F9" s="2">
        <v>564.41</v>
      </c>
      <c r="G9" s="2">
        <v>23.5</v>
      </c>
      <c r="H9" s="2">
        <v>113.2</v>
      </c>
      <c r="I9" s="2">
        <v>22</v>
      </c>
      <c r="J9" s="2">
        <v>2</v>
      </c>
      <c r="K9" s="2">
        <v>0</v>
      </c>
      <c r="L9" s="2">
        <v>7</v>
      </c>
      <c r="M9" s="2">
        <v>4.5</v>
      </c>
      <c r="N9" s="2">
        <v>0</v>
      </c>
      <c r="O9" s="2">
        <v>2</v>
      </c>
      <c r="P9" s="2">
        <v>2.25</v>
      </c>
      <c r="Q9" s="8">
        <v>2</v>
      </c>
      <c r="R9" s="2">
        <v>0</v>
      </c>
      <c r="S9" s="2">
        <v>0</v>
      </c>
      <c r="T9" s="2">
        <v>2</v>
      </c>
      <c r="U9" s="2">
        <v>0</v>
      </c>
      <c r="V9" s="2"/>
      <c r="W9" s="2">
        <v>0</v>
      </c>
      <c r="X9" s="2">
        <v>0.75</v>
      </c>
      <c r="Y9" s="2">
        <v>0.5</v>
      </c>
      <c r="Z9" s="2">
        <v>0.5</v>
      </c>
      <c r="AA9" s="2">
        <v>0.5</v>
      </c>
      <c r="AB9" s="2">
        <v>3</v>
      </c>
      <c r="AC9" s="2">
        <v>0.75</v>
      </c>
      <c r="AD9" s="2">
        <v>0</v>
      </c>
      <c r="AE9" s="2">
        <v>0.01</v>
      </c>
      <c r="AF9" s="2">
        <v>0.01</v>
      </c>
      <c r="AG9" s="2">
        <v>0.01</v>
      </c>
      <c r="AH9" s="2">
        <v>0</v>
      </c>
      <c r="AI9" s="2">
        <v>5</v>
      </c>
      <c r="AJ9" s="2">
        <f t="shared" si="0"/>
        <v>755.89</v>
      </c>
    </row>
    <row r="10" spans="1:36" x14ac:dyDescent="0.25">
      <c r="A10" s="10" t="s">
        <v>45</v>
      </c>
      <c r="B10" s="11">
        <v>1081.96</v>
      </c>
      <c r="C10" s="15"/>
      <c r="D10" s="10">
        <v>484.11</v>
      </c>
      <c r="E10" s="16"/>
      <c r="F10" s="2">
        <v>4</v>
      </c>
      <c r="G10" s="2">
        <v>351.31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2">
        <v>1</v>
      </c>
      <c r="N10" s="2">
        <v>1.5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/>
      <c r="W10" s="2">
        <v>0</v>
      </c>
      <c r="X10" s="2">
        <v>0.4</v>
      </c>
      <c r="Y10" s="2">
        <v>5</v>
      </c>
      <c r="Z10" s="2">
        <v>3</v>
      </c>
      <c r="AA10" s="2">
        <v>2</v>
      </c>
      <c r="AB10" s="2">
        <v>0</v>
      </c>
      <c r="AC10" s="2">
        <v>0</v>
      </c>
      <c r="AD10" s="2">
        <v>0</v>
      </c>
      <c r="AE10" s="2">
        <v>0.03</v>
      </c>
      <c r="AF10" s="2">
        <v>0.03</v>
      </c>
      <c r="AG10" s="2">
        <v>0</v>
      </c>
      <c r="AH10" s="2">
        <v>0</v>
      </c>
      <c r="AI10" s="2">
        <v>0</v>
      </c>
      <c r="AJ10" s="2">
        <f t="shared" si="0"/>
        <v>370.26999999999992</v>
      </c>
    </row>
    <row r="11" spans="1:36" x14ac:dyDescent="0.25">
      <c r="A11" s="10" t="s">
        <v>46</v>
      </c>
      <c r="B11" s="11">
        <v>820.93</v>
      </c>
      <c r="C11" s="15"/>
      <c r="D11" s="10">
        <v>480.05</v>
      </c>
      <c r="E11" s="16"/>
      <c r="F11" s="2">
        <v>263.74</v>
      </c>
      <c r="G11" s="2">
        <v>0</v>
      </c>
      <c r="H11" s="2">
        <v>104.3</v>
      </c>
      <c r="I11" s="2">
        <v>3</v>
      </c>
      <c r="J11" s="2">
        <v>4</v>
      </c>
      <c r="K11" s="2">
        <v>0</v>
      </c>
      <c r="L11" s="2">
        <v>7</v>
      </c>
      <c r="M11" s="2">
        <v>1.5</v>
      </c>
      <c r="N11" s="2">
        <v>0</v>
      </c>
      <c r="O11" s="2">
        <v>2</v>
      </c>
      <c r="P11" s="2">
        <v>0.05</v>
      </c>
      <c r="Q11" s="2">
        <v>0</v>
      </c>
      <c r="R11" s="2">
        <v>0</v>
      </c>
      <c r="S11" s="2">
        <v>0</v>
      </c>
      <c r="T11" s="2">
        <v>2.5</v>
      </c>
      <c r="U11" s="2">
        <v>2</v>
      </c>
      <c r="V11" s="2"/>
      <c r="W11" s="2">
        <v>0</v>
      </c>
      <c r="X11" s="2">
        <v>1</v>
      </c>
      <c r="Y11" s="2">
        <v>0.5</v>
      </c>
      <c r="Z11" s="2">
        <v>0.5</v>
      </c>
      <c r="AA11" s="2">
        <v>0.5</v>
      </c>
      <c r="AB11" s="2">
        <v>5</v>
      </c>
      <c r="AC11" s="2">
        <v>0.25</v>
      </c>
      <c r="AD11" s="2">
        <v>0</v>
      </c>
      <c r="AE11" s="2">
        <v>0</v>
      </c>
      <c r="AF11" s="2">
        <v>0.01</v>
      </c>
      <c r="AG11" s="2">
        <v>0.03</v>
      </c>
      <c r="AH11" s="2">
        <v>0.01</v>
      </c>
      <c r="AI11" s="2">
        <v>5</v>
      </c>
      <c r="AJ11" s="2">
        <f t="shared" si="0"/>
        <v>402.89</v>
      </c>
    </row>
    <row r="12" spans="1:36" x14ac:dyDescent="0.25">
      <c r="A12" s="10" t="s">
        <v>47</v>
      </c>
      <c r="B12" s="11">
        <v>1374.81</v>
      </c>
      <c r="C12" s="15"/>
      <c r="D12" s="11">
        <v>1179.53</v>
      </c>
      <c r="E12" s="15"/>
      <c r="F12" s="2">
        <v>493.91</v>
      </c>
      <c r="G12" s="2">
        <v>0</v>
      </c>
      <c r="H12" s="2">
        <v>238</v>
      </c>
      <c r="I12" s="2">
        <v>11.6</v>
      </c>
      <c r="J12" s="2">
        <v>0</v>
      </c>
      <c r="K12" s="2">
        <v>0</v>
      </c>
      <c r="L12" s="2">
        <v>12</v>
      </c>
      <c r="M12" s="2">
        <v>7.5</v>
      </c>
      <c r="N12" s="2">
        <v>1</v>
      </c>
      <c r="O12" s="2">
        <v>3.2</v>
      </c>
      <c r="P12" s="2">
        <v>1.5</v>
      </c>
      <c r="Q12" s="2">
        <v>2</v>
      </c>
      <c r="R12" s="2">
        <v>0.1</v>
      </c>
      <c r="S12" s="2">
        <v>0</v>
      </c>
      <c r="T12" s="2">
        <v>1</v>
      </c>
      <c r="U12" s="2">
        <v>2</v>
      </c>
      <c r="V12" s="2"/>
      <c r="W12" s="2">
        <v>0</v>
      </c>
      <c r="X12" s="2">
        <v>2</v>
      </c>
      <c r="Y12" s="2">
        <v>3</v>
      </c>
      <c r="Z12" s="2">
        <v>0.2</v>
      </c>
      <c r="AA12" s="2">
        <v>2</v>
      </c>
      <c r="AB12" s="2">
        <v>2</v>
      </c>
      <c r="AC12" s="2">
        <v>0</v>
      </c>
      <c r="AD12" s="2">
        <v>0</v>
      </c>
      <c r="AE12" s="2">
        <v>1</v>
      </c>
      <c r="AF12" s="2">
        <v>0.5</v>
      </c>
      <c r="AG12" s="2">
        <v>0</v>
      </c>
      <c r="AH12" s="2">
        <v>0</v>
      </c>
      <c r="AI12" s="2">
        <v>10</v>
      </c>
      <c r="AJ12" s="2">
        <f t="shared" si="0"/>
        <v>794.51000000000022</v>
      </c>
    </row>
    <row r="13" spans="1:36" x14ac:dyDescent="0.25">
      <c r="A13" s="10" t="s">
        <v>48</v>
      </c>
      <c r="B13" s="11">
        <v>787.12</v>
      </c>
      <c r="C13" s="15"/>
      <c r="D13" s="10">
        <v>265.04000000000002</v>
      </c>
      <c r="E13" s="16"/>
      <c r="F13" s="2">
        <v>159.43</v>
      </c>
      <c r="G13" s="2">
        <v>21</v>
      </c>
      <c r="H13" s="2">
        <v>11</v>
      </c>
      <c r="I13" s="2">
        <v>1</v>
      </c>
      <c r="J13" s="2">
        <v>1</v>
      </c>
      <c r="K13" s="2">
        <v>0</v>
      </c>
      <c r="L13" s="2">
        <v>3</v>
      </c>
      <c r="M13" s="2">
        <v>2</v>
      </c>
      <c r="N13" s="2">
        <v>0</v>
      </c>
      <c r="O13" s="2">
        <v>7</v>
      </c>
      <c r="P13" s="2">
        <v>0.5</v>
      </c>
      <c r="Q13" s="2">
        <v>1</v>
      </c>
      <c r="R13" s="2">
        <v>0.5</v>
      </c>
      <c r="S13" s="2">
        <v>0</v>
      </c>
      <c r="T13" s="2">
        <v>2.5</v>
      </c>
      <c r="U13" s="2">
        <v>1</v>
      </c>
      <c r="V13" s="2"/>
      <c r="W13" s="2">
        <v>0</v>
      </c>
      <c r="X13" s="2">
        <v>0.5</v>
      </c>
      <c r="Y13" s="2">
        <v>2</v>
      </c>
      <c r="Z13" s="2">
        <v>0.6</v>
      </c>
      <c r="AA13" s="2">
        <v>0.3</v>
      </c>
      <c r="AB13" s="2">
        <v>0.3</v>
      </c>
      <c r="AC13" s="2">
        <v>0.1</v>
      </c>
      <c r="AD13" s="2">
        <v>0</v>
      </c>
      <c r="AE13" s="2">
        <v>0.01</v>
      </c>
      <c r="AF13" s="2">
        <v>0.01</v>
      </c>
      <c r="AG13" s="2">
        <v>0.03</v>
      </c>
      <c r="AH13" s="2">
        <v>0.01</v>
      </c>
      <c r="AI13" s="2">
        <v>4.5</v>
      </c>
      <c r="AJ13" s="2">
        <f t="shared" si="0"/>
        <v>219.29</v>
      </c>
    </row>
    <row r="14" spans="1:36" x14ac:dyDescent="0.25">
      <c r="A14" s="10" t="s">
        <v>49</v>
      </c>
      <c r="B14" s="11">
        <v>1284.02</v>
      </c>
      <c r="C14" s="15"/>
      <c r="D14" s="10">
        <v>470.14</v>
      </c>
      <c r="E14" s="16"/>
      <c r="F14" s="2">
        <v>267.43</v>
      </c>
      <c r="G14" s="2">
        <v>0</v>
      </c>
      <c r="H14" s="2">
        <v>126.23</v>
      </c>
      <c r="I14" s="2">
        <v>15</v>
      </c>
      <c r="J14" s="2">
        <v>1.25</v>
      </c>
      <c r="K14" s="2">
        <v>4</v>
      </c>
      <c r="L14" s="2">
        <v>5</v>
      </c>
      <c r="M14" s="2">
        <v>0.3</v>
      </c>
      <c r="N14" s="2">
        <v>0.25</v>
      </c>
      <c r="O14" s="2">
        <v>0.5</v>
      </c>
      <c r="P14" s="2">
        <v>0.25</v>
      </c>
      <c r="Q14" s="2">
        <v>0.1</v>
      </c>
      <c r="R14" s="2">
        <v>0</v>
      </c>
      <c r="S14" s="2">
        <v>0</v>
      </c>
      <c r="T14" s="2">
        <v>2.2999999999999998</v>
      </c>
      <c r="U14" s="2">
        <v>2</v>
      </c>
      <c r="V14" s="2"/>
      <c r="W14" s="2">
        <v>0</v>
      </c>
      <c r="X14" s="2">
        <v>1</v>
      </c>
      <c r="Y14" s="2">
        <v>0.4</v>
      </c>
      <c r="Z14" s="2">
        <v>0.7</v>
      </c>
      <c r="AA14" s="2">
        <v>0.5</v>
      </c>
      <c r="AB14" s="2">
        <v>0.5</v>
      </c>
      <c r="AC14" s="2">
        <v>0</v>
      </c>
      <c r="AD14" s="2">
        <v>0</v>
      </c>
      <c r="AE14" s="2">
        <v>0.03</v>
      </c>
      <c r="AF14" s="2">
        <v>0.04</v>
      </c>
      <c r="AG14" s="2">
        <v>0.03</v>
      </c>
      <c r="AH14" s="2">
        <v>0.02</v>
      </c>
      <c r="AI14" s="2">
        <v>2</v>
      </c>
      <c r="AJ14" s="2">
        <f t="shared" si="0"/>
        <v>429.83</v>
      </c>
    </row>
    <row r="15" spans="1:36" x14ac:dyDescent="0.25">
      <c r="A15" s="10" t="s">
        <v>50</v>
      </c>
      <c r="B15" s="11">
        <v>925.16</v>
      </c>
      <c r="C15" s="15"/>
      <c r="D15" s="10">
        <v>590.91</v>
      </c>
      <c r="E15" s="16"/>
      <c r="F15" s="2">
        <v>346.93</v>
      </c>
      <c r="G15" s="2">
        <v>42</v>
      </c>
      <c r="H15" s="2">
        <v>32.5</v>
      </c>
      <c r="I15" s="2">
        <v>9</v>
      </c>
      <c r="J15" s="2">
        <v>0</v>
      </c>
      <c r="K15" s="2">
        <v>0</v>
      </c>
      <c r="L15" s="2">
        <v>5</v>
      </c>
      <c r="M15" s="2">
        <v>5</v>
      </c>
      <c r="N15" s="2">
        <v>0</v>
      </c>
      <c r="O15" s="2">
        <v>1</v>
      </c>
      <c r="P15" s="2">
        <v>1</v>
      </c>
      <c r="Q15" s="2">
        <v>0.25</v>
      </c>
      <c r="R15" s="2">
        <v>0.25</v>
      </c>
      <c r="S15" s="2">
        <v>0</v>
      </c>
      <c r="T15" s="2">
        <v>2</v>
      </c>
      <c r="U15" s="2">
        <v>0.2</v>
      </c>
      <c r="V15" s="2"/>
      <c r="W15" s="2">
        <v>0</v>
      </c>
      <c r="X15" s="2">
        <v>0.5</v>
      </c>
      <c r="Y15" s="2">
        <v>1.5</v>
      </c>
      <c r="Z15" s="2">
        <v>0.3</v>
      </c>
      <c r="AA15" s="2">
        <v>0.4</v>
      </c>
      <c r="AB15" s="2">
        <v>1</v>
      </c>
      <c r="AC15" s="2">
        <v>0.2</v>
      </c>
      <c r="AD15" s="2">
        <v>0</v>
      </c>
      <c r="AE15" s="2">
        <v>0.02</v>
      </c>
      <c r="AF15" s="2">
        <v>0.01</v>
      </c>
      <c r="AG15" s="2">
        <v>0.5</v>
      </c>
      <c r="AH15" s="2">
        <v>0.01</v>
      </c>
      <c r="AI15" s="2">
        <v>0.5</v>
      </c>
      <c r="AJ15" s="2">
        <f t="shared" si="0"/>
        <v>450.06999999999994</v>
      </c>
    </row>
    <row r="16" spans="1:36" x14ac:dyDescent="0.25">
      <c r="A16" s="10" t="s">
        <v>51</v>
      </c>
      <c r="B16" s="11">
        <v>48.15</v>
      </c>
      <c r="C16" s="15"/>
      <c r="D16" s="10">
        <v>0</v>
      </c>
      <c r="E16" s="16"/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/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0.01</v>
      </c>
      <c r="AF16" s="2">
        <v>0</v>
      </c>
      <c r="AG16" s="2">
        <v>0</v>
      </c>
      <c r="AH16" s="2">
        <v>0</v>
      </c>
      <c r="AI16" s="2">
        <v>0</v>
      </c>
      <c r="AJ16" s="2">
        <f t="shared" si="0"/>
        <v>0.01</v>
      </c>
    </row>
    <row r="17" spans="1:36" x14ac:dyDescent="0.25">
      <c r="A17" s="10" t="s">
        <v>52</v>
      </c>
      <c r="B17" s="11">
        <v>48.36</v>
      </c>
      <c r="C17" s="15"/>
      <c r="D17" s="10">
        <v>0</v>
      </c>
      <c r="E17" s="16"/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/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f t="shared" si="0"/>
        <v>0</v>
      </c>
    </row>
    <row r="18" spans="1:36" x14ac:dyDescent="0.25">
      <c r="A18" s="10" t="s">
        <v>53</v>
      </c>
      <c r="B18" s="11">
        <v>26.17</v>
      </c>
      <c r="C18" s="15"/>
      <c r="D18" s="10">
        <v>0</v>
      </c>
      <c r="E18" s="16"/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/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f t="shared" si="0"/>
        <v>0</v>
      </c>
    </row>
    <row r="19" spans="1:36" x14ac:dyDescent="0.25">
      <c r="A19" s="10" t="s">
        <v>54</v>
      </c>
      <c r="B19" s="11">
        <v>1034.01</v>
      </c>
      <c r="C19" s="15"/>
      <c r="D19" s="10">
        <v>498.08</v>
      </c>
      <c r="E19" s="16"/>
      <c r="F19" s="2">
        <v>0</v>
      </c>
      <c r="G19" s="2">
        <v>379.21</v>
      </c>
      <c r="H19" s="2">
        <v>0</v>
      </c>
      <c r="I19" s="2">
        <v>0</v>
      </c>
      <c r="J19" s="2">
        <v>0</v>
      </c>
      <c r="K19" s="2">
        <v>0</v>
      </c>
      <c r="L19" s="2">
        <v>1.5</v>
      </c>
      <c r="M19" s="2">
        <v>1</v>
      </c>
      <c r="N19" s="2">
        <v>1.5</v>
      </c>
      <c r="O19" s="2">
        <v>0.25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/>
      <c r="W19" s="2">
        <v>0</v>
      </c>
      <c r="X19" s="2">
        <v>1</v>
      </c>
      <c r="Y19" s="2">
        <v>0.4</v>
      </c>
      <c r="Z19" s="2">
        <v>0.3</v>
      </c>
      <c r="AA19" s="2">
        <v>0.5</v>
      </c>
      <c r="AB19" s="2">
        <v>0</v>
      </c>
      <c r="AC19" s="2">
        <v>0</v>
      </c>
      <c r="AD19" s="2">
        <v>0</v>
      </c>
      <c r="AE19" s="2">
        <v>0.02</v>
      </c>
      <c r="AF19" s="2">
        <v>0.01</v>
      </c>
      <c r="AG19" s="2">
        <v>0.02</v>
      </c>
      <c r="AH19" s="2">
        <v>0.01</v>
      </c>
      <c r="AI19" s="2">
        <v>0</v>
      </c>
      <c r="AJ19" s="2">
        <f t="shared" si="0"/>
        <v>385.71999999999991</v>
      </c>
    </row>
    <row r="20" spans="1:36" x14ac:dyDescent="0.25">
      <c r="A20" s="10" t="s">
        <v>55</v>
      </c>
      <c r="B20" s="11">
        <v>863.37</v>
      </c>
      <c r="C20" s="15"/>
      <c r="D20" s="10">
        <v>726.65</v>
      </c>
      <c r="E20" s="16"/>
      <c r="F20" s="2">
        <v>337.79</v>
      </c>
      <c r="G20" s="2">
        <v>63</v>
      </c>
      <c r="H20" s="2">
        <v>128.5</v>
      </c>
      <c r="I20" s="2">
        <v>6</v>
      </c>
      <c r="J20" s="2">
        <v>0</v>
      </c>
      <c r="K20" s="2">
        <v>0</v>
      </c>
      <c r="L20" s="2">
        <v>10</v>
      </c>
      <c r="M20" s="2">
        <v>2.5</v>
      </c>
      <c r="N20" s="2">
        <v>0</v>
      </c>
      <c r="O20" s="2">
        <v>0.5</v>
      </c>
      <c r="P20" s="2">
        <v>0.2</v>
      </c>
      <c r="Q20" s="2">
        <v>1</v>
      </c>
      <c r="R20" s="2">
        <v>0.25</v>
      </c>
      <c r="S20" s="2">
        <v>0</v>
      </c>
      <c r="T20" s="2">
        <v>4</v>
      </c>
      <c r="U20" s="2">
        <v>0</v>
      </c>
      <c r="V20" s="2"/>
      <c r="W20" s="2">
        <v>0</v>
      </c>
      <c r="X20" s="2">
        <v>0.5</v>
      </c>
      <c r="Y20" s="2">
        <v>0.3</v>
      </c>
      <c r="Z20" s="2">
        <v>0.2</v>
      </c>
      <c r="AA20" s="2">
        <v>0.2</v>
      </c>
      <c r="AB20" s="2">
        <v>0.5</v>
      </c>
      <c r="AC20" s="2">
        <v>0</v>
      </c>
      <c r="AD20" s="2">
        <v>0</v>
      </c>
      <c r="AE20" s="2">
        <v>0.02</v>
      </c>
      <c r="AF20" s="2">
        <v>0.01</v>
      </c>
      <c r="AG20" s="2">
        <v>0.02</v>
      </c>
      <c r="AH20" s="2">
        <v>0.01</v>
      </c>
      <c r="AI20" s="2">
        <v>2</v>
      </c>
      <c r="AJ20" s="2">
        <f t="shared" si="0"/>
        <v>557.5</v>
      </c>
    </row>
    <row r="21" spans="1:36" x14ac:dyDescent="0.25">
      <c r="A21" s="10" t="s">
        <v>56</v>
      </c>
      <c r="B21" s="11">
        <v>440.45</v>
      </c>
      <c r="C21" s="15"/>
      <c r="D21" s="10">
        <v>415.25</v>
      </c>
      <c r="E21" s="16"/>
      <c r="F21" s="2">
        <v>0</v>
      </c>
      <c r="G21" s="2">
        <v>355.1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0.5</v>
      </c>
      <c r="N21" s="2">
        <v>0</v>
      </c>
      <c r="O21" s="2">
        <v>0.2</v>
      </c>
      <c r="P21" s="2">
        <v>0.5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/>
      <c r="W21" s="2">
        <v>0</v>
      </c>
      <c r="X21" s="2">
        <v>0.2</v>
      </c>
      <c r="Y21" s="2">
        <v>0.2</v>
      </c>
      <c r="Z21" s="2">
        <v>0.2</v>
      </c>
      <c r="AA21" s="2">
        <v>0.2</v>
      </c>
      <c r="AB21" s="2">
        <v>0</v>
      </c>
      <c r="AC21" s="2">
        <v>0</v>
      </c>
      <c r="AD21" s="2">
        <v>0</v>
      </c>
      <c r="AE21" s="2">
        <v>0.02</v>
      </c>
      <c r="AF21" s="2">
        <v>0.01</v>
      </c>
      <c r="AG21" s="2">
        <v>0.01</v>
      </c>
      <c r="AH21" s="2">
        <v>0.01</v>
      </c>
      <c r="AI21" s="2">
        <v>0</v>
      </c>
      <c r="AJ21" s="2">
        <f t="shared" si="0"/>
        <v>358.14999999999992</v>
      </c>
    </row>
    <row r="22" spans="1:36" x14ac:dyDescent="0.25">
      <c r="A22" s="10" t="s">
        <v>57</v>
      </c>
      <c r="B22" s="11">
        <v>695.19</v>
      </c>
      <c r="C22" s="15"/>
      <c r="D22" s="10">
        <v>415.56</v>
      </c>
      <c r="E22" s="16"/>
      <c r="F22" s="2">
        <v>128.66</v>
      </c>
      <c r="G22" s="2">
        <v>0</v>
      </c>
      <c r="H22" s="2">
        <v>58.3</v>
      </c>
      <c r="I22" s="2">
        <v>3.75</v>
      </c>
      <c r="J22" s="2">
        <v>0.5</v>
      </c>
      <c r="K22" s="2">
        <v>1.75</v>
      </c>
      <c r="L22" s="2">
        <v>4</v>
      </c>
      <c r="M22" s="2">
        <v>0.3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2.2000000000000002</v>
      </c>
      <c r="U22" s="2">
        <v>0.25</v>
      </c>
      <c r="V22" s="2"/>
      <c r="W22" s="2">
        <v>0</v>
      </c>
      <c r="X22" s="2">
        <v>0.5</v>
      </c>
      <c r="Y22" s="2">
        <v>0.4</v>
      </c>
      <c r="Z22" s="2">
        <v>0.6</v>
      </c>
      <c r="AA22" s="2">
        <v>0.5</v>
      </c>
      <c r="AB22" s="2">
        <v>2</v>
      </c>
      <c r="AC22" s="2">
        <v>0.5</v>
      </c>
      <c r="AD22" s="2">
        <v>0</v>
      </c>
      <c r="AE22" s="2">
        <v>0.02</v>
      </c>
      <c r="AF22" s="2">
        <v>0.01</v>
      </c>
      <c r="AG22" s="2">
        <v>0.01</v>
      </c>
      <c r="AH22" s="2">
        <v>0.01</v>
      </c>
      <c r="AI22" s="2">
        <v>5</v>
      </c>
      <c r="AJ22" s="2">
        <f t="shared" si="0"/>
        <v>209.25999999999996</v>
      </c>
    </row>
    <row r="23" spans="1:36" x14ac:dyDescent="0.25">
      <c r="A23" s="10" t="s">
        <v>58</v>
      </c>
      <c r="B23" s="11">
        <v>670.84</v>
      </c>
      <c r="C23" s="15"/>
      <c r="D23" s="10">
        <v>517.55999999999995</v>
      </c>
      <c r="E23" s="16"/>
      <c r="F23" s="2">
        <v>136.80000000000001</v>
      </c>
      <c r="G23" s="2">
        <v>0</v>
      </c>
      <c r="H23" s="2">
        <v>125.5</v>
      </c>
      <c r="I23" s="2">
        <v>4</v>
      </c>
      <c r="J23" s="2">
        <v>0</v>
      </c>
      <c r="K23" s="2">
        <v>7.5</v>
      </c>
      <c r="L23" s="2">
        <v>3</v>
      </c>
      <c r="M23" s="2">
        <v>0.5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2.5</v>
      </c>
      <c r="U23" s="2">
        <v>0.25</v>
      </c>
      <c r="V23" s="2"/>
      <c r="W23" s="2">
        <v>0</v>
      </c>
      <c r="X23" s="2">
        <v>0.2</v>
      </c>
      <c r="Y23" s="2">
        <v>0.4</v>
      </c>
      <c r="Z23" s="2">
        <v>0.1</v>
      </c>
      <c r="AA23" s="2">
        <v>0.1</v>
      </c>
      <c r="AB23" s="2">
        <v>0.3</v>
      </c>
      <c r="AC23" s="2">
        <v>0</v>
      </c>
      <c r="AD23" s="2">
        <v>0</v>
      </c>
      <c r="AE23" s="2">
        <v>0.02</v>
      </c>
      <c r="AF23" s="2">
        <v>0.01</v>
      </c>
      <c r="AG23" s="2">
        <v>0.01</v>
      </c>
      <c r="AH23" s="2">
        <v>0.01</v>
      </c>
      <c r="AI23" s="2">
        <v>3</v>
      </c>
      <c r="AJ23" s="2">
        <f t="shared" si="0"/>
        <v>284.2</v>
      </c>
    </row>
    <row r="24" spans="1:36" x14ac:dyDescent="0.25">
      <c r="A24" s="10" t="s">
        <v>59</v>
      </c>
      <c r="B24" s="11">
        <v>1316.5</v>
      </c>
      <c r="C24" s="15"/>
      <c r="D24" s="11">
        <v>1312.8</v>
      </c>
      <c r="E24" s="15"/>
      <c r="F24" s="2">
        <v>273.87</v>
      </c>
      <c r="G24" s="2">
        <v>1.25</v>
      </c>
      <c r="H24" s="2">
        <v>360.1</v>
      </c>
      <c r="I24" s="2">
        <v>56</v>
      </c>
      <c r="J24" s="2">
        <v>0</v>
      </c>
      <c r="K24" s="2">
        <v>0</v>
      </c>
      <c r="L24" s="2">
        <v>15</v>
      </c>
      <c r="M24" s="2">
        <v>1</v>
      </c>
      <c r="N24" s="2">
        <v>0</v>
      </c>
      <c r="O24" s="2">
        <v>0.25</v>
      </c>
      <c r="P24" s="2">
        <v>1</v>
      </c>
      <c r="Q24" s="2">
        <v>0.25</v>
      </c>
      <c r="R24" s="2">
        <v>0</v>
      </c>
      <c r="S24" s="2">
        <v>0</v>
      </c>
      <c r="T24" s="2">
        <v>2.75</v>
      </c>
      <c r="U24" s="2">
        <v>1</v>
      </c>
      <c r="V24" s="2"/>
      <c r="W24" s="2">
        <v>0.25</v>
      </c>
      <c r="X24" s="2">
        <v>0.5</v>
      </c>
      <c r="Y24" s="2">
        <v>0.3</v>
      </c>
      <c r="Z24" s="2">
        <v>0.4</v>
      </c>
      <c r="AA24" s="2">
        <v>0.3</v>
      </c>
      <c r="AB24" s="2">
        <v>1</v>
      </c>
      <c r="AC24" s="2">
        <v>0</v>
      </c>
      <c r="AD24" s="2">
        <v>0</v>
      </c>
      <c r="AE24" s="2">
        <v>0.02</v>
      </c>
      <c r="AF24" s="2">
        <v>0.01</v>
      </c>
      <c r="AG24" s="2">
        <v>0.02</v>
      </c>
      <c r="AH24" s="2">
        <v>0.01</v>
      </c>
      <c r="AI24" s="2">
        <v>5</v>
      </c>
      <c r="AJ24" s="2">
        <f t="shared" si="0"/>
        <v>720.27999999999986</v>
      </c>
    </row>
    <row r="25" spans="1:36" x14ac:dyDescent="0.25">
      <c r="A25" s="10" t="s">
        <v>60</v>
      </c>
      <c r="B25" s="11">
        <v>881.11</v>
      </c>
      <c r="C25" s="15"/>
      <c r="D25" s="10">
        <v>320.39999999999998</v>
      </c>
      <c r="E25" s="16"/>
      <c r="F25" s="2">
        <v>0</v>
      </c>
      <c r="G25" s="2">
        <v>207.97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/>
      <c r="W25" s="2">
        <v>0</v>
      </c>
      <c r="X25" s="2">
        <v>0.75</v>
      </c>
      <c r="Y25" s="2">
        <v>0.2</v>
      </c>
      <c r="Z25" s="2">
        <v>0.3</v>
      </c>
      <c r="AA25" s="2">
        <v>0.3</v>
      </c>
      <c r="AB25" s="2">
        <v>0</v>
      </c>
      <c r="AC25" s="2">
        <v>0</v>
      </c>
      <c r="AD25" s="2">
        <v>0</v>
      </c>
      <c r="AE25" s="2">
        <v>0.02</v>
      </c>
      <c r="AF25" s="2">
        <v>0.01</v>
      </c>
      <c r="AG25" s="2">
        <v>0.01</v>
      </c>
      <c r="AH25" s="2">
        <v>0.01</v>
      </c>
      <c r="AI25" s="2">
        <v>0</v>
      </c>
      <c r="AJ25" s="2">
        <f t="shared" si="0"/>
        <v>211.57</v>
      </c>
    </row>
    <row r="26" spans="1:36" x14ac:dyDescent="0.25">
      <c r="A26" s="10" t="s">
        <v>61</v>
      </c>
      <c r="B26" s="11">
        <v>1037.3399999999999</v>
      </c>
      <c r="C26" s="15"/>
      <c r="D26" s="10">
        <v>626.58000000000004</v>
      </c>
      <c r="E26" s="16"/>
      <c r="F26" s="2">
        <v>253.2</v>
      </c>
      <c r="G26" s="2">
        <v>0</v>
      </c>
      <c r="H26" s="2">
        <v>140.69999999999999</v>
      </c>
      <c r="I26" s="2">
        <v>12</v>
      </c>
      <c r="J26" s="2">
        <v>1.25</v>
      </c>
      <c r="K26" s="2">
        <v>0.5</v>
      </c>
      <c r="L26" s="2">
        <v>5</v>
      </c>
      <c r="M26" s="2">
        <v>0.2</v>
      </c>
      <c r="N26" s="2">
        <v>0</v>
      </c>
      <c r="O26" s="2">
        <v>0.25</v>
      </c>
      <c r="P26" s="2">
        <v>0.5</v>
      </c>
      <c r="Q26" s="2">
        <v>0.25</v>
      </c>
      <c r="R26" s="2">
        <v>0.1</v>
      </c>
      <c r="S26" s="2">
        <v>0</v>
      </c>
      <c r="T26" s="2">
        <v>2</v>
      </c>
      <c r="U26" s="2">
        <v>1</v>
      </c>
      <c r="V26" s="2"/>
      <c r="W26" s="2">
        <v>0</v>
      </c>
      <c r="X26" s="2">
        <v>0.5</v>
      </c>
      <c r="Y26" s="2">
        <v>0</v>
      </c>
      <c r="Z26" s="2">
        <v>0.5</v>
      </c>
      <c r="AA26" s="2">
        <v>0</v>
      </c>
      <c r="AB26" s="2">
        <v>2</v>
      </c>
      <c r="AC26" s="2">
        <v>0</v>
      </c>
      <c r="AD26" s="2">
        <v>0</v>
      </c>
      <c r="AE26" s="2">
        <v>0.02</v>
      </c>
      <c r="AF26" s="2">
        <v>0.01</v>
      </c>
      <c r="AG26" s="2">
        <v>0.02</v>
      </c>
      <c r="AH26" s="2">
        <v>0.01</v>
      </c>
      <c r="AI26" s="2">
        <v>2</v>
      </c>
      <c r="AJ26" s="2">
        <f t="shared" si="0"/>
        <v>422.00999999999993</v>
      </c>
    </row>
    <row r="27" spans="1:36" x14ac:dyDescent="0.25">
      <c r="A27" s="10"/>
      <c r="B27" s="10"/>
      <c r="C27" s="10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>
        <f>SUM(AJ2:AJ26)</f>
        <v>9078.17</v>
      </c>
    </row>
    <row r="28" spans="1:36" s="1" customFormat="1" x14ac:dyDescent="0.25">
      <c r="A28" s="12" t="s">
        <v>63</v>
      </c>
      <c r="B28" s="13">
        <f>SUM(B2:B26)</f>
        <v>21685.000000000004</v>
      </c>
      <c r="C28" s="13"/>
      <c r="D28" s="13">
        <f>SUM(D2:D26)</f>
        <v>13109.919999999998</v>
      </c>
      <c r="E28" s="13"/>
      <c r="F28" s="7">
        <f>SUM(F2:F27)</f>
        <v>4219.95</v>
      </c>
      <c r="G28" s="7">
        <f t="shared" ref="G28:AI28" si="1">SUM(G2:G27)</f>
        <v>1962.59</v>
      </c>
      <c r="H28" s="7">
        <f t="shared" si="1"/>
        <v>2245.8599999999997</v>
      </c>
      <c r="I28" s="7">
        <f t="shared" si="1"/>
        <v>175.35</v>
      </c>
      <c r="J28" s="7">
        <f t="shared" si="1"/>
        <v>11.9</v>
      </c>
      <c r="K28" s="7">
        <f t="shared" si="1"/>
        <v>22.35</v>
      </c>
      <c r="L28" s="7">
        <f t="shared" si="1"/>
        <v>110.5</v>
      </c>
      <c r="M28" s="7">
        <f t="shared" si="1"/>
        <v>42.8</v>
      </c>
      <c r="N28" s="7">
        <f t="shared" si="1"/>
        <v>4.5</v>
      </c>
      <c r="O28" s="7">
        <f t="shared" si="1"/>
        <v>28.65</v>
      </c>
      <c r="P28" s="7">
        <f t="shared" si="1"/>
        <v>13.149999999999999</v>
      </c>
      <c r="Q28" s="7">
        <f t="shared" si="1"/>
        <v>12.6</v>
      </c>
      <c r="R28" s="7">
        <f t="shared" si="1"/>
        <v>1.85</v>
      </c>
      <c r="S28" s="7">
        <f t="shared" si="1"/>
        <v>0.75</v>
      </c>
      <c r="T28" s="7">
        <f t="shared" si="1"/>
        <v>37.85</v>
      </c>
      <c r="U28" s="7">
        <f t="shared" si="1"/>
        <v>12.299999999999999</v>
      </c>
      <c r="V28" s="7">
        <f t="shared" si="1"/>
        <v>7</v>
      </c>
      <c r="W28" s="7">
        <f t="shared" si="1"/>
        <v>0.5</v>
      </c>
      <c r="X28" s="7">
        <f t="shared" si="1"/>
        <v>15.2</v>
      </c>
      <c r="Y28" s="7">
        <f t="shared" si="1"/>
        <v>17.799999999999997</v>
      </c>
      <c r="Z28" s="7">
        <f t="shared" si="1"/>
        <v>10.8</v>
      </c>
      <c r="AA28" s="7">
        <f t="shared" si="1"/>
        <v>13.9</v>
      </c>
      <c r="AB28" s="7">
        <f t="shared" si="1"/>
        <v>35.200000000000003</v>
      </c>
      <c r="AC28" s="7">
        <f t="shared" si="1"/>
        <v>3.3000000000000003</v>
      </c>
      <c r="AD28" s="7">
        <f t="shared" si="1"/>
        <v>0</v>
      </c>
      <c r="AE28" s="7">
        <f t="shared" si="1"/>
        <v>1.3900000000000001</v>
      </c>
      <c r="AF28" s="7">
        <f t="shared" si="1"/>
        <v>0.9700000000000002</v>
      </c>
      <c r="AG28" s="7">
        <f t="shared" si="1"/>
        <v>1.4200000000000002</v>
      </c>
      <c r="AH28" s="7">
        <f t="shared" si="1"/>
        <v>0.24000000000000005</v>
      </c>
      <c r="AI28" s="7">
        <f t="shared" si="1"/>
        <v>67.5</v>
      </c>
      <c r="AJ28" s="7">
        <f>SUM(F28:AI28)</f>
        <v>9078.1699999999964</v>
      </c>
    </row>
  </sheetData>
  <pageMargins left="0.31496062992125984" right="0.31496062992125984" top="0.35433070866141736" bottom="0.35433070866141736" header="0.31496062992125984" footer="0.31496062992125984"/>
  <pageSetup paperSize="25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>
      <selection activeCell="A7" sqref="A7"/>
    </sheetView>
  </sheetViews>
  <sheetFormatPr defaultRowHeight="15" x14ac:dyDescent="0.25"/>
  <cols>
    <col min="1" max="1" width="16.140625" customWidth="1"/>
    <col min="4" max="5" width="7.85546875" customWidth="1"/>
    <col min="6" max="6" width="7.140625" customWidth="1"/>
    <col min="7" max="7" width="7.85546875" customWidth="1"/>
    <col min="8" max="8" width="8.140625" customWidth="1"/>
    <col min="9" max="9" width="6.5703125" customWidth="1"/>
    <col min="10" max="10" width="8.7109375" customWidth="1"/>
    <col min="11" max="11" width="6.85546875" customWidth="1"/>
    <col min="12" max="12" width="7.42578125" customWidth="1"/>
    <col min="13" max="13" width="8.28515625" customWidth="1"/>
    <col min="14" max="14" width="7.42578125" customWidth="1"/>
    <col min="15" max="15" width="7.140625" customWidth="1"/>
    <col min="16" max="16" width="6.42578125" customWidth="1"/>
    <col min="17" max="17" width="7.42578125" customWidth="1"/>
    <col min="18" max="18" width="8" customWidth="1"/>
    <col min="19" max="19" width="8.5703125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5" spans="1:19" x14ac:dyDescent="0.25">
      <c r="A5" s="1" t="s">
        <v>4</v>
      </c>
    </row>
    <row r="7" spans="1:19" x14ac:dyDescent="0.25">
      <c r="A7" s="1" t="s">
        <v>64</v>
      </c>
    </row>
    <row r="9" spans="1:19" ht="36" x14ac:dyDescent="0.25">
      <c r="A9" s="5" t="s">
        <v>5</v>
      </c>
      <c r="B9" s="5" t="s">
        <v>6</v>
      </c>
      <c r="C9" s="5" t="s">
        <v>62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36</v>
      </c>
    </row>
    <row r="10" spans="1:19" x14ac:dyDescent="0.25">
      <c r="A10" s="2" t="s">
        <v>37</v>
      </c>
      <c r="B10" s="3">
        <v>1245.98</v>
      </c>
      <c r="C10" s="2">
        <v>809.19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 t="s">
        <v>38</v>
      </c>
      <c r="B11" s="3">
        <v>1001.11</v>
      </c>
      <c r="C11" s="2">
        <v>604.27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 t="s">
        <v>39</v>
      </c>
      <c r="B12" s="3">
        <v>1085.18</v>
      </c>
      <c r="C12" s="2">
        <v>913.52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 t="s">
        <v>40</v>
      </c>
      <c r="B13" s="3">
        <v>1440.15</v>
      </c>
      <c r="C13" s="2">
        <v>496.28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 t="s">
        <v>41</v>
      </c>
      <c r="B14" s="3">
        <v>835.56</v>
      </c>
      <c r="C14" s="2">
        <v>536.87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 t="s">
        <v>42</v>
      </c>
      <c r="B15" s="3">
        <v>739.4</v>
      </c>
      <c r="C15" s="2">
        <v>306.58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 t="s">
        <v>43</v>
      </c>
      <c r="B16" s="3">
        <v>890.52</v>
      </c>
      <c r="C16" s="2">
        <v>268.17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 t="s">
        <v>44</v>
      </c>
      <c r="B17" s="3">
        <v>1111.6099999999999</v>
      </c>
      <c r="C17" s="2">
        <v>872.38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 t="s">
        <v>45</v>
      </c>
      <c r="B18" s="3">
        <v>1081.96</v>
      </c>
      <c r="C18" s="2">
        <v>484.11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 t="s">
        <v>46</v>
      </c>
      <c r="B19" s="3">
        <v>820.93</v>
      </c>
      <c r="C19" s="2">
        <v>480.05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 t="s">
        <v>47</v>
      </c>
      <c r="B20" s="3">
        <v>1374.81</v>
      </c>
      <c r="C20" s="3">
        <v>1179.53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 t="s">
        <v>48</v>
      </c>
      <c r="B21" s="3">
        <v>787.12</v>
      </c>
      <c r="C21" s="2">
        <v>265.04000000000002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 t="s">
        <v>49</v>
      </c>
      <c r="B22" s="3">
        <v>1284.02</v>
      </c>
      <c r="C22" s="2">
        <v>470.14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 t="s">
        <v>50</v>
      </c>
      <c r="B23" s="3">
        <v>925.16</v>
      </c>
      <c r="C23" s="2">
        <v>590.91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 t="s">
        <v>51</v>
      </c>
      <c r="B24" s="3">
        <v>48.15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 t="s">
        <v>52</v>
      </c>
      <c r="B25" s="3">
        <v>48.36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 t="s">
        <v>53</v>
      </c>
      <c r="B26" s="3">
        <v>26.17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 t="s">
        <v>54</v>
      </c>
      <c r="B27" s="3">
        <v>1034.01</v>
      </c>
      <c r="C27" s="2">
        <v>498.08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 t="s">
        <v>55</v>
      </c>
      <c r="B28" s="3">
        <v>863.37</v>
      </c>
      <c r="C28" s="2">
        <v>726.65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 t="s">
        <v>56</v>
      </c>
      <c r="B29" s="3">
        <v>440.45</v>
      </c>
      <c r="C29" s="2">
        <v>415.25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 t="s">
        <v>57</v>
      </c>
      <c r="B30" s="3">
        <v>695.19</v>
      </c>
      <c r="C30" s="2">
        <v>415.56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 t="s">
        <v>58</v>
      </c>
      <c r="B31" s="3">
        <v>670.84</v>
      </c>
      <c r="C31" s="2">
        <v>517.55999999999995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 t="s">
        <v>59</v>
      </c>
      <c r="B32" s="3">
        <v>1316.5</v>
      </c>
      <c r="C32" s="3">
        <v>1312.8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 t="s">
        <v>60</v>
      </c>
      <c r="B33" s="3">
        <v>881.11</v>
      </c>
      <c r="C33" s="2">
        <v>320.39999999999998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 t="s">
        <v>61</v>
      </c>
      <c r="B34" s="3">
        <v>1037.3399999999999</v>
      </c>
      <c r="C34" s="2">
        <v>626.58000000000004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 t="s">
        <v>63</v>
      </c>
      <c r="B35" s="4">
        <f>SUM(B10:B34)</f>
        <v>21685.000000000004</v>
      </c>
      <c r="C35" s="4">
        <f>SUM(C10:C34)</f>
        <v>13109.919999999998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</sheetData>
  <pageMargins left="0.23622047244094491" right="0.23622047244094491" top="0.35433070866141736" bottom="0.35433070866141736" header="0.31496062992125984" footer="0.31496062992125984"/>
  <pageSetup paperSize="25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Area per Barangay (1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ollanas</dc:creator>
  <cp:lastModifiedBy>Jumar Amores</cp:lastModifiedBy>
  <cp:lastPrinted>2025-01-09T07:12:12Z</cp:lastPrinted>
  <dcterms:created xsi:type="dcterms:W3CDTF">2024-09-20T07:11:44Z</dcterms:created>
  <dcterms:modified xsi:type="dcterms:W3CDTF">2026-03-09T10:47:49Z</dcterms:modified>
</cp:coreProperties>
</file>