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Documents\PRODUCTION DATA\"/>
    </mc:Choice>
  </mc:AlternateContent>
  <xr:revisionPtr revIDLastSave="0" documentId="13_ncr:1000001_{A4BD2C38-B9C8-0A44-8F71-E2C8EAE0CACE}" xr6:coauthVersionLast="47" xr6:coauthVersionMax="47" xr10:uidLastSave="{00000000-0000-0000-0000-000000000000}"/>
  <bookViews>
    <workbookView xWindow="0" yWindow="0" windowWidth="8055" windowHeight="2100" xr2:uid="{00000000-000D-0000-FFFF-FFFF00000000}"/>
  </bookViews>
  <sheets>
    <sheet name="Volume of Prod. per Barangay (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C36" i="1"/>
  <c r="AD36" i="1"/>
  <c r="AE36" i="1"/>
  <c r="AF36" i="1"/>
  <c r="AG36" i="1"/>
  <c r="C36" i="2"/>
  <c r="B36" i="2"/>
  <c r="C36" i="1"/>
  <c r="B36" i="1"/>
</calcChain>
</file>

<file path=xl/sharedStrings.xml><?xml version="1.0" encoding="utf-8"?>
<sst xmlns="http://schemas.openxmlformats.org/spreadsheetml/2006/main" count="132" uniqueCount="82">
  <si>
    <t>Republic of the Philippines</t>
  </si>
  <si>
    <t>Western Mindanao, Region IX</t>
  </si>
  <si>
    <t>Province of Zamboanga del Sur</t>
  </si>
  <si>
    <t>Municipality of Molave</t>
  </si>
  <si>
    <t>MUNICIPAL AGRICULTURE OFFICE</t>
  </si>
  <si>
    <t>Name of Barangay</t>
  </si>
  <si>
    <t>Land Area (Ha)</t>
  </si>
  <si>
    <t>Alicia</t>
  </si>
  <si>
    <t>Bag-ong Argao</t>
  </si>
  <si>
    <t>Bag-ong Ariosa</t>
  </si>
  <si>
    <t>Bag-ong Gutlang</t>
  </si>
  <si>
    <t>Blancia</t>
  </si>
  <si>
    <t>Bogo Capalaran</t>
  </si>
  <si>
    <t>Culo</t>
  </si>
  <si>
    <t>Dalaon</t>
  </si>
  <si>
    <t>Dipolo</t>
  </si>
  <si>
    <t>Dontulan</t>
  </si>
  <si>
    <t>Gonosan</t>
  </si>
  <si>
    <t>Lower Dimalinao</t>
  </si>
  <si>
    <t>Lower Dimorok</t>
  </si>
  <si>
    <t>Mabuhay</t>
  </si>
  <si>
    <t>Madasigon</t>
  </si>
  <si>
    <t>Makuguihon</t>
  </si>
  <si>
    <t>Maloloy-on</t>
  </si>
  <si>
    <t>Miligan</t>
  </si>
  <si>
    <t>Parasan</t>
  </si>
  <si>
    <t>Rizal</t>
  </si>
  <si>
    <t>Sto. Rosario</t>
  </si>
  <si>
    <t>Silangit</t>
  </si>
  <si>
    <t>Simata</t>
  </si>
  <si>
    <t>Sudlon</t>
  </si>
  <si>
    <t>Upper Dimorok</t>
  </si>
  <si>
    <t>Agricultural Land Area (Ha)</t>
  </si>
  <si>
    <t>Total</t>
  </si>
  <si>
    <t>VOLUME OF PRODUCTION BY BARANGAY</t>
  </si>
  <si>
    <t xml:space="preserve">Rice </t>
  </si>
  <si>
    <t>Corn</t>
  </si>
  <si>
    <t xml:space="preserve">Rubber </t>
  </si>
  <si>
    <t xml:space="preserve">Coffee </t>
  </si>
  <si>
    <t xml:space="preserve">Cacao </t>
  </si>
  <si>
    <t xml:space="preserve">Banana </t>
  </si>
  <si>
    <t xml:space="preserve">Mango </t>
  </si>
  <si>
    <t xml:space="preserve">Calamansi </t>
  </si>
  <si>
    <t xml:space="preserve">Lansones </t>
  </si>
  <si>
    <t xml:space="preserve">Durian </t>
  </si>
  <si>
    <t xml:space="preserve">Rambutan </t>
  </si>
  <si>
    <t>Mangosteen</t>
  </si>
  <si>
    <t xml:space="preserve">Dragon Fruit </t>
  </si>
  <si>
    <t xml:space="preserve">Camote </t>
  </si>
  <si>
    <t xml:space="preserve">Eggplant </t>
  </si>
  <si>
    <t xml:space="preserve">Ampalaya </t>
  </si>
  <si>
    <t xml:space="preserve">Stringbean </t>
  </si>
  <si>
    <t xml:space="preserve">Squash </t>
  </si>
  <si>
    <t xml:space="preserve">Mongo </t>
  </si>
  <si>
    <t xml:space="preserve">Soybeans </t>
  </si>
  <si>
    <t xml:space="preserve">Hot Pepper </t>
  </si>
  <si>
    <t xml:space="preserve">Sweet Pepper </t>
  </si>
  <si>
    <t xml:space="preserve">Ginger </t>
  </si>
  <si>
    <t xml:space="preserve">Tomato </t>
  </si>
  <si>
    <t xml:space="preserve">Falcata </t>
  </si>
  <si>
    <t xml:space="preserve">Abaca </t>
  </si>
  <si>
    <t>Cassava</t>
  </si>
  <si>
    <t>Ubi</t>
  </si>
  <si>
    <t>Okra</t>
  </si>
  <si>
    <t>Coconut</t>
  </si>
  <si>
    <t>1mt</t>
  </si>
  <si>
    <t>1.8mt</t>
  </si>
  <si>
    <t>9mt</t>
  </si>
  <si>
    <t>4mt</t>
  </si>
  <si>
    <t>6mt</t>
  </si>
  <si>
    <t>18mt</t>
  </si>
  <si>
    <t>5mt</t>
  </si>
  <si>
    <t>2mt</t>
  </si>
  <si>
    <t>3mt</t>
  </si>
  <si>
    <t>10mt</t>
  </si>
  <si>
    <t>8mt</t>
  </si>
  <si>
    <t>Singkamas</t>
  </si>
  <si>
    <t>7.5mt</t>
  </si>
  <si>
    <t>12mt</t>
  </si>
  <si>
    <t>TOTAL</t>
  </si>
  <si>
    <t>4.99mt</t>
  </si>
  <si>
    <t>VOLUME OF PRODUCTION (Metric Tons) CY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</si>
</sst>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/>
    <xf numFmtId="4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"/>
  <sheetViews>
    <sheetView tabSelected="1" topLeftCell="F2" workbookViewId="0">
      <selection activeCell="A7" sqref="A7"/>
    </sheetView>
  </sheetViews>
  <sheetFormatPr defaultRowHeight="15" x14ac:dyDescent="0.2"/>
  <cols>
    <col min="1" max="1" width="14.66015625" customWidth="1"/>
  </cols>
  <sheetData>
    <row r="1" spans="1:33" x14ac:dyDescent="0.2">
      <c r="A1" t="s">
        <v>0</v>
      </c>
    </row>
    <row r="2" spans="1:33" x14ac:dyDescent="0.2">
      <c r="A2" t="s">
        <v>1</v>
      </c>
    </row>
    <row r="3" spans="1:33" x14ac:dyDescent="0.2">
      <c r="A3" t="s">
        <v>2</v>
      </c>
    </row>
    <row r="4" spans="1:33" x14ac:dyDescent="0.2">
      <c r="A4" t="s">
        <v>3</v>
      </c>
    </row>
    <row r="5" spans="1:33" x14ac:dyDescent="0.2">
      <c r="A5" s="1" t="s">
        <v>4</v>
      </c>
    </row>
    <row r="7" spans="1:33" x14ac:dyDescent="0.2">
      <c r="A7" s="1" t="s">
        <v>81</v>
      </c>
    </row>
    <row r="9" spans="1:33" s="2" customFormat="1" ht="41.25" x14ac:dyDescent="0.2">
      <c r="A9" s="3" t="s">
        <v>5</v>
      </c>
      <c r="B9" s="3" t="s">
        <v>6</v>
      </c>
      <c r="C9" s="3" t="s">
        <v>32</v>
      </c>
      <c r="D9" s="3" t="s">
        <v>64</v>
      </c>
      <c r="E9" s="3" t="s">
        <v>35</v>
      </c>
      <c r="F9" s="3" t="s">
        <v>36</v>
      </c>
      <c r="G9" s="3" t="s">
        <v>37</v>
      </c>
      <c r="H9" s="3" t="s">
        <v>38</v>
      </c>
      <c r="I9" s="3" t="s">
        <v>39</v>
      </c>
      <c r="J9" s="3" t="s">
        <v>40</v>
      </c>
      <c r="K9" s="3" t="s">
        <v>41</v>
      </c>
      <c r="L9" s="3" t="s">
        <v>42</v>
      </c>
      <c r="M9" s="3" t="s">
        <v>43</v>
      </c>
      <c r="N9" s="3" t="s">
        <v>44</v>
      </c>
      <c r="O9" s="3" t="s">
        <v>45</v>
      </c>
      <c r="P9" s="3" t="s">
        <v>46</v>
      </c>
      <c r="Q9" s="3" t="s">
        <v>47</v>
      </c>
      <c r="R9" s="3" t="s">
        <v>61</v>
      </c>
      <c r="S9" s="3" t="s">
        <v>48</v>
      </c>
      <c r="T9" s="3" t="s">
        <v>76</v>
      </c>
      <c r="U9" s="3" t="s">
        <v>62</v>
      </c>
      <c r="V9" s="3" t="s">
        <v>49</v>
      </c>
      <c r="W9" s="3" t="s">
        <v>50</v>
      </c>
      <c r="X9" s="3" t="s">
        <v>63</v>
      </c>
      <c r="Y9" s="3" t="s">
        <v>51</v>
      </c>
      <c r="Z9" s="3" t="s">
        <v>52</v>
      </c>
      <c r="AA9" s="3" t="s">
        <v>53</v>
      </c>
      <c r="AB9" s="3" t="s">
        <v>54</v>
      </c>
      <c r="AC9" s="3" t="s">
        <v>55</v>
      </c>
      <c r="AD9" s="3" t="s">
        <v>56</v>
      </c>
      <c r="AE9" s="3" t="s">
        <v>57</v>
      </c>
      <c r="AF9" s="3" t="s">
        <v>58</v>
      </c>
      <c r="AG9" s="3" t="s">
        <v>79</v>
      </c>
    </row>
    <row r="10" spans="1:33" x14ac:dyDescent="0.2">
      <c r="A10" s="4" t="s">
        <v>7</v>
      </c>
      <c r="B10" s="5">
        <v>1245.98</v>
      </c>
      <c r="C10" s="4">
        <v>809.19</v>
      </c>
      <c r="D10" s="4">
        <v>391.12</v>
      </c>
      <c r="E10" s="4">
        <v>0</v>
      </c>
      <c r="F10" s="4">
        <v>692.6</v>
      </c>
      <c r="G10" s="4">
        <v>56</v>
      </c>
      <c r="H10" s="4">
        <v>0</v>
      </c>
      <c r="I10" s="4">
        <v>2.25</v>
      </c>
      <c r="J10" s="4">
        <v>94.5</v>
      </c>
      <c r="K10" s="4">
        <v>6</v>
      </c>
      <c r="L10" s="4">
        <v>0</v>
      </c>
      <c r="M10" s="4">
        <v>13.5</v>
      </c>
      <c r="N10" s="4">
        <v>9</v>
      </c>
      <c r="O10" s="4">
        <v>1</v>
      </c>
      <c r="P10" s="4">
        <v>0</v>
      </c>
      <c r="Q10" s="4"/>
      <c r="R10" s="4">
        <v>17.5</v>
      </c>
      <c r="S10" s="4">
        <v>7</v>
      </c>
      <c r="T10" s="4"/>
      <c r="U10" s="4"/>
      <c r="V10" s="4">
        <v>4.5</v>
      </c>
      <c r="W10" s="4">
        <v>4</v>
      </c>
      <c r="X10" s="4">
        <v>2.4</v>
      </c>
      <c r="Y10" s="4">
        <v>6</v>
      </c>
      <c r="Z10" s="4">
        <v>13.5</v>
      </c>
      <c r="AA10" s="4">
        <v>0</v>
      </c>
      <c r="AB10" s="4"/>
      <c r="AC10" s="4">
        <v>0.08</v>
      </c>
      <c r="AD10" s="4">
        <v>0.1</v>
      </c>
      <c r="AE10" s="4">
        <v>0.6</v>
      </c>
      <c r="AF10" s="4">
        <v>0.6</v>
      </c>
      <c r="AG10" s="4"/>
    </row>
    <row r="11" spans="1:33" x14ac:dyDescent="0.2">
      <c r="A11" s="4" t="s">
        <v>8</v>
      </c>
      <c r="B11" s="5">
        <v>1001.11</v>
      </c>
      <c r="C11" s="4">
        <v>604.27</v>
      </c>
      <c r="D11" s="4">
        <v>463.03</v>
      </c>
      <c r="E11" s="4">
        <v>0</v>
      </c>
      <c r="F11" s="4">
        <v>527.29999999999995</v>
      </c>
      <c r="G11" s="4">
        <v>18.399999999999999</v>
      </c>
      <c r="H11" s="4">
        <v>0</v>
      </c>
      <c r="I11" s="4">
        <v>12.15</v>
      </c>
      <c r="J11" s="4">
        <v>45</v>
      </c>
      <c r="K11" s="4">
        <v>4</v>
      </c>
      <c r="L11" s="4">
        <v>0</v>
      </c>
      <c r="M11" s="4">
        <v>18</v>
      </c>
      <c r="N11" s="4">
        <v>0</v>
      </c>
      <c r="O11" s="4">
        <v>0</v>
      </c>
      <c r="P11" s="4">
        <v>0.03</v>
      </c>
      <c r="Q11" s="4"/>
      <c r="R11" s="4">
        <v>15.75</v>
      </c>
      <c r="S11" s="4">
        <v>0</v>
      </c>
      <c r="T11" s="4"/>
      <c r="U11" s="4"/>
      <c r="V11" s="4">
        <v>4.5</v>
      </c>
      <c r="W11" s="4">
        <v>5</v>
      </c>
      <c r="X11" s="4">
        <v>4</v>
      </c>
      <c r="Y11" s="4">
        <v>0</v>
      </c>
      <c r="Z11" s="4">
        <v>45</v>
      </c>
      <c r="AA11" s="4">
        <v>0.25</v>
      </c>
      <c r="AB11" s="4"/>
      <c r="AC11" s="4">
        <v>0.16</v>
      </c>
      <c r="AD11" s="4">
        <v>0.03</v>
      </c>
      <c r="AE11" s="4">
        <v>0.06</v>
      </c>
      <c r="AF11" s="4">
        <v>0.24</v>
      </c>
      <c r="AG11" s="4"/>
    </row>
    <row r="12" spans="1:33" x14ac:dyDescent="0.2">
      <c r="A12" s="4" t="s">
        <v>9</v>
      </c>
      <c r="B12" s="5">
        <v>1085.18</v>
      </c>
      <c r="C12" s="4">
        <v>913.52</v>
      </c>
      <c r="D12" s="4">
        <v>199.34</v>
      </c>
      <c r="E12" s="4">
        <v>277.5</v>
      </c>
      <c r="F12" s="4">
        <v>695.7</v>
      </c>
      <c r="G12" s="4">
        <v>5.6</v>
      </c>
      <c r="H12" s="4">
        <v>0</v>
      </c>
      <c r="I12" s="4">
        <v>0</v>
      </c>
      <c r="J12" s="4">
        <v>49.5</v>
      </c>
      <c r="K12" s="4">
        <v>4</v>
      </c>
      <c r="L12" s="4">
        <v>1.5</v>
      </c>
      <c r="M12" s="4">
        <v>4.5</v>
      </c>
      <c r="N12" s="4">
        <v>5</v>
      </c>
      <c r="O12" s="4">
        <v>0.25</v>
      </c>
      <c r="P12" s="4">
        <v>0</v>
      </c>
      <c r="Q12" s="4">
        <v>6.75</v>
      </c>
      <c r="R12" s="4">
        <v>19.2</v>
      </c>
      <c r="S12" s="4">
        <v>3.5</v>
      </c>
      <c r="T12" s="4"/>
      <c r="U12" s="4"/>
      <c r="V12" s="4">
        <v>4.5</v>
      </c>
      <c r="W12" s="4">
        <v>5</v>
      </c>
      <c r="X12" s="4">
        <v>4</v>
      </c>
      <c r="Y12" s="4">
        <v>3</v>
      </c>
      <c r="Z12" s="4">
        <v>2.7</v>
      </c>
      <c r="AA12" s="4">
        <v>0</v>
      </c>
      <c r="AB12" s="4"/>
      <c r="AC12" s="4">
        <v>0.04</v>
      </c>
      <c r="AD12" s="4">
        <v>0.1</v>
      </c>
      <c r="AE12" s="4">
        <v>0.03</v>
      </c>
      <c r="AF12" s="4">
        <v>1.2E-2</v>
      </c>
      <c r="AG12" s="4"/>
    </row>
    <row r="13" spans="1:33" x14ac:dyDescent="0.2">
      <c r="A13" s="4" t="s">
        <v>10</v>
      </c>
      <c r="B13" s="5">
        <v>1440.15</v>
      </c>
      <c r="C13" s="4">
        <v>496.28</v>
      </c>
      <c r="D13" s="4">
        <v>170.76</v>
      </c>
      <c r="E13" s="4">
        <v>125.58</v>
      </c>
      <c r="F13" s="4">
        <v>594.4</v>
      </c>
      <c r="G13" s="4">
        <v>9.1</v>
      </c>
      <c r="H13" s="4">
        <v>0</v>
      </c>
      <c r="I13" s="4">
        <v>0</v>
      </c>
      <c r="J13" s="4">
        <v>27</v>
      </c>
      <c r="K13" s="4">
        <v>4</v>
      </c>
      <c r="L13" s="4">
        <v>0</v>
      </c>
      <c r="M13" s="4">
        <v>9</v>
      </c>
      <c r="N13" s="4">
        <v>4.5</v>
      </c>
      <c r="O13" s="4">
        <v>2</v>
      </c>
      <c r="P13" s="4">
        <v>0</v>
      </c>
      <c r="Q13" s="4"/>
      <c r="R13" s="4">
        <v>10.4</v>
      </c>
      <c r="S13" s="4">
        <v>7</v>
      </c>
      <c r="T13" s="4"/>
      <c r="U13" s="4"/>
      <c r="V13" s="4">
        <v>9</v>
      </c>
      <c r="W13" s="4">
        <v>5</v>
      </c>
      <c r="X13" s="4">
        <v>4</v>
      </c>
      <c r="Y13" s="4">
        <v>3</v>
      </c>
      <c r="Z13" s="4">
        <v>63</v>
      </c>
      <c r="AA13" s="4">
        <v>0.25</v>
      </c>
      <c r="AB13" s="4"/>
      <c r="AC13" s="4">
        <v>0.24</v>
      </c>
      <c r="AD13" s="4">
        <v>0.03</v>
      </c>
      <c r="AE13" s="4">
        <v>1.7999999999999999E-2</v>
      </c>
      <c r="AF13" s="4">
        <v>1.2E-2</v>
      </c>
      <c r="AG13" s="4"/>
    </row>
    <row r="14" spans="1:33" x14ac:dyDescent="0.2">
      <c r="A14" s="4" t="s">
        <v>11</v>
      </c>
      <c r="B14" s="5">
        <v>835.56</v>
      </c>
      <c r="C14" s="4">
        <v>536.87</v>
      </c>
      <c r="D14" s="4">
        <v>0</v>
      </c>
      <c r="E14" s="4">
        <v>2916.48</v>
      </c>
      <c r="F14" s="4">
        <v>0</v>
      </c>
      <c r="G14" s="4">
        <v>0</v>
      </c>
      <c r="H14" s="4">
        <v>0</v>
      </c>
      <c r="I14" s="4">
        <v>0</v>
      </c>
      <c r="J14" s="4">
        <v>18</v>
      </c>
      <c r="K14" s="4">
        <v>20</v>
      </c>
      <c r="L14" s="4">
        <v>0</v>
      </c>
      <c r="M14" s="4">
        <v>18</v>
      </c>
      <c r="N14" s="4">
        <v>0.45</v>
      </c>
      <c r="O14" s="4">
        <v>0.6</v>
      </c>
      <c r="P14" s="4">
        <v>0.03</v>
      </c>
      <c r="Q14" s="4"/>
      <c r="R14" s="4">
        <v>0</v>
      </c>
      <c r="S14" s="4">
        <v>0.35</v>
      </c>
      <c r="T14" s="4"/>
      <c r="U14" s="4"/>
      <c r="V14" s="4">
        <v>1.8</v>
      </c>
      <c r="W14" s="4">
        <v>2</v>
      </c>
      <c r="X14" s="4">
        <v>1.6</v>
      </c>
      <c r="Y14" s="4">
        <v>0.6</v>
      </c>
      <c r="Z14" s="4">
        <v>0</v>
      </c>
      <c r="AA14" s="4">
        <v>0</v>
      </c>
      <c r="AB14" s="4"/>
      <c r="AC14" s="4">
        <v>0.08</v>
      </c>
      <c r="AD14" s="4">
        <v>0.01</v>
      </c>
      <c r="AE14" s="4">
        <v>0.06</v>
      </c>
      <c r="AF14" s="4">
        <v>1.2E-2</v>
      </c>
      <c r="AG14" s="4"/>
    </row>
    <row r="15" spans="1:33" x14ac:dyDescent="0.2">
      <c r="A15" s="4" t="s">
        <v>12</v>
      </c>
      <c r="B15" s="5">
        <v>739.4</v>
      </c>
      <c r="C15" s="4">
        <v>306.58</v>
      </c>
      <c r="D15" s="4">
        <v>150.30000000000001</v>
      </c>
      <c r="E15" s="4">
        <v>42.5</v>
      </c>
      <c r="F15" s="4">
        <v>273.3</v>
      </c>
      <c r="G15" s="4">
        <v>0</v>
      </c>
      <c r="H15" s="4">
        <v>1.4</v>
      </c>
      <c r="I15" s="4">
        <v>0</v>
      </c>
      <c r="J15" s="4">
        <v>27</v>
      </c>
      <c r="K15" s="4">
        <v>6</v>
      </c>
      <c r="L15" s="4">
        <v>0</v>
      </c>
      <c r="M15" s="4">
        <v>126</v>
      </c>
      <c r="N15" s="4">
        <v>4.5</v>
      </c>
      <c r="O15" s="4">
        <v>2</v>
      </c>
      <c r="P15" s="4">
        <v>1.5</v>
      </c>
      <c r="Q15" s="4"/>
      <c r="R15" s="4">
        <v>17</v>
      </c>
      <c r="S15" s="4">
        <v>0</v>
      </c>
      <c r="T15" s="4">
        <v>52.5</v>
      </c>
      <c r="U15" s="4">
        <v>8</v>
      </c>
      <c r="V15" s="4">
        <v>18</v>
      </c>
      <c r="W15" s="4">
        <v>20</v>
      </c>
      <c r="X15" s="4">
        <v>24</v>
      </c>
      <c r="Y15" s="4">
        <v>18</v>
      </c>
      <c r="Z15" s="4">
        <v>9</v>
      </c>
      <c r="AA15" s="4">
        <v>0.25</v>
      </c>
      <c r="AB15" s="4"/>
      <c r="AC15" s="4">
        <v>0</v>
      </c>
      <c r="AD15" s="4">
        <v>0.01</v>
      </c>
      <c r="AE15" s="4">
        <v>3</v>
      </c>
      <c r="AF15" s="4">
        <v>1.2E-2</v>
      </c>
      <c r="AG15" s="4"/>
    </row>
    <row r="16" spans="1:33" x14ac:dyDescent="0.2">
      <c r="A16" s="4" t="s">
        <v>13</v>
      </c>
      <c r="B16" s="5">
        <v>890.52</v>
      </c>
      <c r="C16" s="4">
        <v>268.17</v>
      </c>
      <c r="D16" s="4">
        <v>0</v>
      </c>
      <c r="E16" s="4">
        <v>2029.95</v>
      </c>
      <c r="F16" s="4">
        <v>0</v>
      </c>
      <c r="G16" s="4">
        <v>0</v>
      </c>
      <c r="H16" s="4">
        <v>0</v>
      </c>
      <c r="I16" s="4">
        <v>0</v>
      </c>
      <c r="J16" s="4">
        <v>9</v>
      </c>
      <c r="K16" s="4">
        <v>12</v>
      </c>
      <c r="L16" s="4">
        <v>0</v>
      </c>
      <c r="M16" s="4">
        <v>18</v>
      </c>
      <c r="N16" s="4">
        <v>7.5</v>
      </c>
      <c r="O16" s="4">
        <v>2</v>
      </c>
      <c r="P16" s="4">
        <v>0.06</v>
      </c>
      <c r="Q16" s="4"/>
      <c r="R16" s="4">
        <v>0</v>
      </c>
      <c r="S16" s="4">
        <v>0</v>
      </c>
      <c r="T16" s="4"/>
      <c r="U16" s="4"/>
      <c r="V16" s="4">
        <v>1.8</v>
      </c>
      <c r="W16" s="4">
        <v>4</v>
      </c>
      <c r="X16" s="4">
        <v>0.8</v>
      </c>
      <c r="Y16" s="4">
        <v>3</v>
      </c>
      <c r="Z16" s="4">
        <v>0.9</v>
      </c>
      <c r="AA16" s="4">
        <v>0</v>
      </c>
      <c r="AB16" s="4"/>
      <c r="AC16" s="4">
        <v>0</v>
      </c>
      <c r="AD16" s="4">
        <v>0</v>
      </c>
      <c r="AE16" s="4">
        <v>0</v>
      </c>
      <c r="AF16" s="4">
        <v>0</v>
      </c>
      <c r="AG16" s="4"/>
    </row>
    <row r="17" spans="1:33" x14ac:dyDescent="0.2">
      <c r="A17" s="4" t="s">
        <v>14</v>
      </c>
      <c r="B17" s="5">
        <v>1111.6099999999999</v>
      </c>
      <c r="C17" s="4">
        <v>872.38</v>
      </c>
      <c r="D17" s="4">
        <v>790.17</v>
      </c>
      <c r="E17" s="4">
        <v>191.29</v>
      </c>
      <c r="F17" s="4">
        <v>475.4</v>
      </c>
      <c r="G17" s="4">
        <v>61.6</v>
      </c>
      <c r="H17" s="4">
        <v>2</v>
      </c>
      <c r="I17" s="4">
        <v>0</v>
      </c>
      <c r="J17" s="4">
        <v>63</v>
      </c>
      <c r="K17" s="4">
        <v>18</v>
      </c>
      <c r="L17" s="4">
        <v>0</v>
      </c>
      <c r="M17" s="4">
        <v>36</v>
      </c>
      <c r="N17" s="4">
        <v>11.25</v>
      </c>
      <c r="O17" s="4">
        <v>4</v>
      </c>
      <c r="P17" s="4">
        <v>0</v>
      </c>
      <c r="Q17" s="4"/>
      <c r="R17" s="4">
        <v>13</v>
      </c>
      <c r="S17" s="4">
        <v>0</v>
      </c>
      <c r="T17" s="4"/>
      <c r="U17" s="4"/>
      <c r="V17" s="4">
        <v>6.75</v>
      </c>
      <c r="W17" s="4">
        <v>5</v>
      </c>
      <c r="X17" s="4">
        <v>4</v>
      </c>
      <c r="Y17" s="4">
        <v>3</v>
      </c>
      <c r="Z17" s="4">
        <v>2.7</v>
      </c>
      <c r="AA17" s="4">
        <v>0.37</v>
      </c>
      <c r="AB17" s="4"/>
      <c r="AC17" s="4">
        <v>0.08</v>
      </c>
      <c r="AD17" s="4">
        <v>0.01</v>
      </c>
      <c r="AE17" s="4">
        <v>0.06</v>
      </c>
      <c r="AF17" s="4">
        <v>0</v>
      </c>
      <c r="AG17" s="4"/>
    </row>
    <row r="18" spans="1:33" x14ac:dyDescent="0.2">
      <c r="A18" s="4" t="s">
        <v>15</v>
      </c>
      <c r="B18" s="5">
        <v>1081.96</v>
      </c>
      <c r="C18" s="4">
        <v>484.11</v>
      </c>
      <c r="D18" s="4">
        <v>3.6</v>
      </c>
      <c r="E18" s="4">
        <v>3049.37</v>
      </c>
      <c r="F18" s="4">
        <v>0</v>
      </c>
      <c r="G18" s="4">
        <v>0</v>
      </c>
      <c r="H18" s="4">
        <v>0</v>
      </c>
      <c r="I18" s="4">
        <v>0</v>
      </c>
      <c r="J18" s="4">
        <v>18</v>
      </c>
      <c r="K18" s="4">
        <v>4</v>
      </c>
      <c r="L18" s="4">
        <v>9</v>
      </c>
      <c r="M18" s="4">
        <v>0</v>
      </c>
      <c r="N18" s="4">
        <v>0</v>
      </c>
      <c r="O18" s="4">
        <v>0</v>
      </c>
      <c r="P18" s="4">
        <v>0</v>
      </c>
      <c r="Q18" s="4"/>
      <c r="R18" s="4">
        <v>0</v>
      </c>
      <c r="S18" s="4">
        <v>0</v>
      </c>
      <c r="T18" s="4"/>
      <c r="U18" s="4"/>
      <c r="V18" s="4">
        <v>36</v>
      </c>
      <c r="W18" s="4">
        <v>50</v>
      </c>
      <c r="X18" s="4">
        <v>24</v>
      </c>
      <c r="Y18" s="4">
        <v>12</v>
      </c>
      <c r="Z18" s="4">
        <v>0</v>
      </c>
      <c r="AA18" s="4">
        <v>0</v>
      </c>
      <c r="AB18" s="4"/>
      <c r="AC18" s="4">
        <v>0.24</v>
      </c>
      <c r="AD18" s="4">
        <v>0.03</v>
      </c>
      <c r="AE18" s="4">
        <v>0</v>
      </c>
      <c r="AF18" s="4">
        <v>0</v>
      </c>
      <c r="AG18" s="4"/>
    </row>
    <row r="19" spans="1:33" x14ac:dyDescent="0.2">
      <c r="A19" s="4" t="s">
        <v>16</v>
      </c>
      <c r="B19" s="5">
        <v>820.93</v>
      </c>
      <c r="C19" s="4">
        <v>480.05</v>
      </c>
      <c r="D19" s="4">
        <v>369.24</v>
      </c>
      <c r="E19" s="4">
        <v>0</v>
      </c>
      <c r="F19" s="4">
        <v>374.4</v>
      </c>
      <c r="G19" s="4">
        <v>8.4</v>
      </c>
      <c r="H19" s="4">
        <v>0</v>
      </c>
      <c r="I19" s="4">
        <v>0</v>
      </c>
      <c r="J19" s="4">
        <v>63</v>
      </c>
      <c r="K19" s="4">
        <v>6</v>
      </c>
      <c r="L19" s="4">
        <v>0</v>
      </c>
      <c r="M19" s="4">
        <v>36</v>
      </c>
      <c r="N19" s="4">
        <v>0.15</v>
      </c>
      <c r="O19" s="4">
        <v>0</v>
      </c>
      <c r="P19" s="4">
        <v>0</v>
      </c>
      <c r="Q19" s="4"/>
      <c r="R19" s="4">
        <v>16.25</v>
      </c>
      <c r="S19" s="4">
        <v>14</v>
      </c>
      <c r="T19" s="4"/>
      <c r="U19" s="4"/>
      <c r="V19" s="4">
        <v>9</v>
      </c>
      <c r="W19" s="4">
        <v>5</v>
      </c>
      <c r="X19" s="4">
        <v>4</v>
      </c>
      <c r="Y19" s="4">
        <v>3</v>
      </c>
      <c r="Z19" s="4">
        <v>45</v>
      </c>
      <c r="AA19" s="4">
        <v>0.125</v>
      </c>
      <c r="AB19" s="4"/>
      <c r="AC19" s="4">
        <v>0</v>
      </c>
      <c r="AD19" s="4">
        <v>0.01</v>
      </c>
      <c r="AE19" s="4">
        <v>1.7999999999999999E-2</v>
      </c>
      <c r="AF19" s="4">
        <v>1.2E-2</v>
      </c>
      <c r="AG19" s="4"/>
    </row>
    <row r="20" spans="1:33" x14ac:dyDescent="0.2">
      <c r="A20" s="4" t="s">
        <v>17</v>
      </c>
      <c r="B20" s="5">
        <v>1374.81</v>
      </c>
      <c r="C20" s="5">
        <v>1179.53</v>
      </c>
      <c r="D20" s="4">
        <v>686.53</v>
      </c>
      <c r="E20" s="4">
        <v>0</v>
      </c>
      <c r="F20" s="4">
        <v>904.4</v>
      </c>
      <c r="G20" s="4">
        <v>32.4</v>
      </c>
      <c r="H20" s="4">
        <v>0</v>
      </c>
      <c r="I20" s="4">
        <v>0</v>
      </c>
      <c r="J20" s="4">
        <v>108</v>
      </c>
      <c r="K20" s="4">
        <v>30</v>
      </c>
      <c r="L20" s="4">
        <v>6</v>
      </c>
      <c r="M20" s="4">
        <v>57.6</v>
      </c>
      <c r="N20" s="4">
        <v>7.5</v>
      </c>
      <c r="O20" s="4">
        <v>4</v>
      </c>
      <c r="P20" s="4">
        <v>0.03</v>
      </c>
      <c r="Q20" s="4"/>
      <c r="R20" s="4">
        <v>6.7</v>
      </c>
      <c r="S20" s="4">
        <v>14</v>
      </c>
      <c r="T20" s="4"/>
      <c r="U20" s="4"/>
      <c r="V20" s="4">
        <v>18</v>
      </c>
      <c r="W20" s="4">
        <v>3</v>
      </c>
      <c r="X20" s="4">
        <v>1.6</v>
      </c>
      <c r="Y20" s="4">
        <v>12</v>
      </c>
      <c r="Z20" s="4">
        <v>18</v>
      </c>
      <c r="AA20" s="4">
        <v>0</v>
      </c>
      <c r="AB20" s="4"/>
      <c r="AC20" s="4">
        <v>8</v>
      </c>
      <c r="AD20" s="4">
        <v>0.5</v>
      </c>
      <c r="AE20" s="4">
        <v>0</v>
      </c>
      <c r="AF20" s="4">
        <v>0.24</v>
      </c>
      <c r="AG20" s="4"/>
    </row>
    <row r="21" spans="1:33" x14ac:dyDescent="0.2">
      <c r="A21" s="4" t="s">
        <v>18</v>
      </c>
      <c r="B21" s="5">
        <v>787.12</v>
      </c>
      <c r="C21" s="4">
        <v>265.04000000000002</v>
      </c>
      <c r="D21" s="4">
        <v>221.61</v>
      </c>
      <c r="E21" s="4">
        <v>177.24</v>
      </c>
      <c r="F21" s="4">
        <v>79.2</v>
      </c>
      <c r="G21" s="4">
        <v>2.8</v>
      </c>
      <c r="H21" s="4">
        <v>1</v>
      </c>
      <c r="I21" s="4">
        <v>0</v>
      </c>
      <c r="J21" s="4">
        <v>27</v>
      </c>
      <c r="K21" s="4">
        <v>8</v>
      </c>
      <c r="L21" s="4">
        <v>0</v>
      </c>
      <c r="M21" s="4">
        <v>126</v>
      </c>
      <c r="N21" s="4">
        <v>2.5</v>
      </c>
      <c r="O21" s="4">
        <v>2</v>
      </c>
      <c r="P21" s="4">
        <v>1.5</v>
      </c>
      <c r="Q21" s="4"/>
      <c r="R21" s="4">
        <v>17</v>
      </c>
      <c r="S21" s="4">
        <v>7</v>
      </c>
      <c r="T21" s="4"/>
      <c r="U21" s="4"/>
      <c r="V21" s="4">
        <v>4.5</v>
      </c>
      <c r="W21" s="4">
        <v>2</v>
      </c>
      <c r="X21" s="4">
        <v>4.8</v>
      </c>
      <c r="Y21" s="4">
        <v>1.8</v>
      </c>
      <c r="Z21" s="4">
        <v>2.7</v>
      </c>
      <c r="AA21" s="4">
        <v>0.05</v>
      </c>
      <c r="AB21" s="4"/>
      <c r="AC21" s="4">
        <v>0.08</v>
      </c>
      <c r="AD21" s="4">
        <v>0.01</v>
      </c>
      <c r="AE21" s="4">
        <v>1.7999999999999999E-2</v>
      </c>
      <c r="AF21" s="4">
        <v>1.2E-2</v>
      </c>
      <c r="AG21" s="4"/>
    </row>
    <row r="22" spans="1:33" x14ac:dyDescent="0.2">
      <c r="A22" s="4" t="s">
        <v>19</v>
      </c>
      <c r="B22" s="5">
        <v>1284.02</v>
      </c>
      <c r="C22" s="4">
        <v>470.14</v>
      </c>
      <c r="D22" s="4">
        <v>374.4</v>
      </c>
      <c r="E22" s="4">
        <v>0</v>
      </c>
      <c r="F22" s="4">
        <v>429.3</v>
      </c>
      <c r="G22" s="4">
        <v>42</v>
      </c>
      <c r="H22" s="4">
        <v>1.25</v>
      </c>
      <c r="I22" s="4">
        <v>7.2</v>
      </c>
      <c r="J22" s="4">
        <v>45</v>
      </c>
      <c r="K22" s="4">
        <v>12</v>
      </c>
      <c r="L22" s="4">
        <v>1.5</v>
      </c>
      <c r="M22" s="4">
        <v>9</v>
      </c>
      <c r="N22" s="4">
        <v>1.25</v>
      </c>
      <c r="O22" s="4">
        <v>0</v>
      </c>
      <c r="P22" s="4">
        <v>0</v>
      </c>
      <c r="Q22" s="4"/>
      <c r="R22" s="4">
        <v>14.95</v>
      </c>
      <c r="S22" s="4">
        <v>14</v>
      </c>
      <c r="T22" s="4"/>
      <c r="U22" s="4"/>
      <c r="V22" s="4">
        <v>9</v>
      </c>
      <c r="W22" s="4">
        <v>4</v>
      </c>
      <c r="X22" s="4">
        <v>5.6</v>
      </c>
      <c r="Y22" s="4">
        <v>3</v>
      </c>
      <c r="Z22" s="4">
        <v>4.5</v>
      </c>
      <c r="AA22" s="4">
        <v>0</v>
      </c>
      <c r="AB22" s="4"/>
      <c r="AC22" s="4">
        <v>0.24</v>
      </c>
      <c r="AD22" s="4">
        <v>0.04</v>
      </c>
      <c r="AE22" s="4">
        <v>1.7999999999999999E-2</v>
      </c>
      <c r="AF22" s="4">
        <v>0</v>
      </c>
      <c r="AG22" s="4"/>
    </row>
    <row r="23" spans="1:33" x14ac:dyDescent="0.2">
      <c r="A23" s="4" t="s">
        <v>20</v>
      </c>
      <c r="B23" s="5">
        <v>925.16</v>
      </c>
      <c r="C23" s="4">
        <v>590.91</v>
      </c>
      <c r="D23" s="4">
        <v>465.7</v>
      </c>
      <c r="E23" s="4">
        <v>392.28</v>
      </c>
      <c r="F23" s="4">
        <v>136.5</v>
      </c>
      <c r="G23" s="4">
        <v>24.3</v>
      </c>
      <c r="H23" s="4">
        <v>0</v>
      </c>
      <c r="I23" s="4">
        <v>0</v>
      </c>
      <c r="J23" s="4">
        <v>45</v>
      </c>
      <c r="K23" s="4">
        <v>20</v>
      </c>
      <c r="L23" s="4">
        <v>0</v>
      </c>
      <c r="M23" s="4">
        <v>18</v>
      </c>
      <c r="N23" s="4">
        <v>5</v>
      </c>
      <c r="O23" s="4">
        <v>0.5</v>
      </c>
      <c r="P23" s="4">
        <v>0.75</v>
      </c>
      <c r="Q23" s="4"/>
      <c r="R23" s="4">
        <v>13.2</v>
      </c>
      <c r="S23" s="4">
        <v>0.75</v>
      </c>
      <c r="T23" s="4"/>
      <c r="U23" s="4"/>
      <c r="V23" s="4">
        <v>4.5</v>
      </c>
      <c r="W23" s="4">
        <v>15</v>
      </c>
      <c r="X23" s="4">
        <v>2.4</v>
      </c>
      <c r="Y23" s="4">
        <v>2.4</v>
      </c>
      <c r="Z23" s="4">
        <v>9</v>
      </c>
      <c r="AA23" s="4">
        <v>0.1</v>
      </c>
      <c r="AB23" s="4"/>
      <c r="AC23" s="4">
        <v>0.16</v>
      </c>
      <c r="AD23" s="4">
        <v>0.01</v>
      </c>
      <c r="AE23" s="4">
        <v>3</v>
      </c>
      <c r="AF23" s="4">
        <v>0</v>
      </c>
      <c r="AG23" s="4"/>
    </row>
    <row r="24" spans="1:33" x14ac:dyDescent="0.2">
      <c r="A24" s="4" t="s">
        <v>21</v>
      </c>
      <c r="B24" s="5">
        <v>48.15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/>
      <c r="R24" s="4">
        <v>0</v>
      </c>
      <c r="S24" s="4">
        <v>0</v>
      </c>
      <c r="T24" s="4"/>
      <c r="U24" s="4"/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/>
      <c r="AC24" s="4">
        <v>0.08</v>
      </c>
      <c r="AD24" s="4">
        <v>0</v>
      </c>
      <c r="AE24" s="4">
        <v>0</v>
      </c>
      <c r="AF24" s="4">
        <v>0</v>
      </c>
      <c r="AG24" s="4"/>
    </row>
    <row r="25" spans="1:33" x14ac:dyDescent="0.2">
      <c r="A25" s="4" t="s">
        <v>22</v>
      </c>
      <c r="B25" s="5">
        <v>48.36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/>
      <c r="R25" s="4">
        <v>0</v>
      </c>
      <c r="S25" s="4">
        <v>0</v>
      </c>
      <c r="T25" s="4"/>
      <c r="U25" s="4"/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/>
      <c r="AC25" s="4">
        <v>0</v>
      </c>
      <c r="AD25" s="4">
        <v>0</v>
      </c>
      <c r="AE25" s="4">
        <v>0</v>
      </c>
      <c r="AF25" s="4">
        <v>0</v>
      </c>
      <c r="AG25" s="4"/>
    </row>
    <row r="26" spans="1:33" x14ac:dyDescent="0.2">
      <c r="A26" s="4" t="s">
        <v>23</v>
      </c>
      <c r="B26" s="5">
        <v>26.17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/>
      <c r="R26" s="4">
        <v>0</v>
      </c>
      <c r="S26" s="4">
        <v>0</v>
      </c>
      <c r="T26" s="4"/>
      <c r="U26" s="4"/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/>
      <c r="AC26" s="4">
        <v>0</v>
      </c>
      <c r="AD26" s="4">
        <v>0</v>
      </c>
      <c r="AE26" s="4">
        <v>0</v>
      </c>
      <c r="AF26" s="4">
        <v>0</v>
      </c>
      <c r="AG26" s="4"/>
    </row>
    <row r="27" spans="1:33" x14ac:dyDescent="0.2">
      <c r="A27" s="4" t="s">
        <v>24</v>
      </c>
      <c r="B27" s="5">
        <v>1034.01</v>
      </c>
      <c r="C27" s="4">
        <v>498.08</v>
      </c>
      <c r="D27" s="4">
        <v>0</v>
      </c>
      <c r="E27" s="4">
        <v>3974.12</v>
      </c>
      <c r="F27" s="4">
        <v>0</v>
      </c>
      <c r="G27" s="4">
        <v>0</v>
      </c>
      <c r="H27" s="4">
        <v>0</v>
      </c>
      <c r="I27" s="4">
        <v>0</v>
      </c>
      <c r="J27" s="4">
        <v>13.5</v>
      </c>
      <c r="K27" s="4">
        <v>4</v>
      </c>
      <c r="L27" s="4">
        <v>6</v>
      </c>
      <c r="M27" s="4">
        <v>4.5</v>
      </c>
      <c r="N27" s="4">
        <v>0</v>
      </c>
      <c r="O27" s="4">
        <v>0</v>
      </c>
      <c r="P27" s="4">
        <v>0</v>
      </c>
      <c r="Q27" s="4"/>
      <c r="R27" s="4">
        <v>0</v>
      </c>
      <c r="S27" s="4">
        <v>0</v>
      </c>
      <c r="T27" s="4"/>
      <c r="U27" s="4"/>
      <c r="V27" s="4">
        <v>9</v>
      </c>
      <c r="W27" s="4">
        <v>4</v>
      </c>
      <c r="X27" s="4">
        <v>4</v>
      </c>
      <c r="Y27" s="4">
        <v>3</v>
      </c>
      <c r="Z27" s="4">
        <v>0</v>
      </c>
      <c r="AA27" s="4">
        <v>0</v>
      </c>
      <c r="AB27" s="4"/>
      <c r="AC27" s="4">
        <v>0.16</v>
      </c>
      <c r="AD27" s="4">
        <v>0.01</v>
      </c>
      <c r="AE27" s="4">
        <v>1.2E-2</v>
      </c>
      <c r="AF27" s="4">
        <v>1.2E-2</v>
      </c>
      <c r="AG27" s="4"/>
    </row>
    <row r="28" spans="1:33" x14ac:dyDescent="0.2">
      <c r="A28" s="4" t="s">
        <v>25</v>
      </c>
      <c r="B28" s="5">
        <v>863.37</v>
      </c>
      <c r="C28" s="4">
        <v>726.65</v>
      </c>
      <c r="D28" s="4">
        <v>472.91</v>
      </c>
      <c r="E28" s="4">
        <v>517.82000000000005</v>
      </c>
      <c r="F28" s="4">
        <v>436.9</v>
      </c>
      <c r="G28" s="4">
        <v>16.8</v>
      </c>
      <c r="H28" s="4">
        <v>0</v>
      </c>
      <c r="I28" s="4">
        <v>0</v>
      </c>
      <c r="J28" s="4">
        <v>90</v>
      </c>
      <c r="K28" s="4">
        <v>10</v>
      </c>
      <c r="L28" s="4">
        <v>0</v>
      </c>
      <c r="M28" s="4">
        <v>9</v>
      </c>
      <c r="N28" s="4">
        <v>1</v>
      </c>
      <c r="O28" s="4">
        <v>2</v>
      </c>
      <c r="P28" s="4">
        <v>0.75</v>
      </c>
      <c r="Q28" s="4"/>
      <c r="R28" s="4">
        <v>26.4</v>
      </c>
      <c r="S28" s="4">
        <v>0</v>
      </c>
      <c r="T28" s="4"/>
      <c r="U28" s="4"/>
      <c r="V28" s="4">
        <v>4.5</v>
      </c>
      <c r="W28" s="4">
        <v>3</v>
      </c>
      <c r="X28" s="4">
        <v>1.6</v>
      </c>
      <c r="Y28" s="4">
        <v>1.2</v>
      </c>
      <c r="Z28" s="4">
        <v>4.5</v>
      </c>
      <c r="AA28" s="4">
        <v>0</v>
      </c>
      <c r="AB28" s="4"/>
      <c r="AC28" s="4">
        <v>0.16</v>
      </c>
      <c r="AD28" s="4">
        <v>0.01</v>
      </c>
      <c r="AE28" s="4">
        <v>1.2E-2</v>
      </c>
      <c r="AF28" s="4">
        <v>1.2E-2</v>
      </c>
      <c r="AG28" s="4"/>
    </row>
    <row r="29" spans="1:33" x14ac:dyDescent="0.2">
      <c r="A29" s="4" t="s">
        <v>26</v>
      </c>
      <c r="B29" s="5">
        <v>440.45</v>
      </c>
      <c r="C29" s="4">
        <v>415.25</v>
      </c>
      <c r="D29" s="4">
        <v>0</v>
      </c>
      <c r="E29" s="4">
        <v>3600.7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2</v>
      </c>
      <c r="L29" s="4">
        <v>0</v>
      </c>
      <c r="M29" s="4">
        <v>3.6</v>
      </c>
      <c r="N29" s="4">
        <v>2.5</v>
      </c>
      <c r="O29" s="4">
        <v>2</v>
      </c>
      <c r="P29" s="4">
        <v>0</v>
      </c>
      <c r="Q29" s="4"/>
      <c r="R29" s="4">
        <v>0</v>
      </c>
      <c r="S29" s="4">
        <v>0</v>
      </c>
      <c r="T29" s="4"/>
      <c r="U29" s="4"/>
      <c r="V29" s="4">
        <v>1.8</v>
      </c>
      <c r="W29" s="4">
        <v>2</v>
      </c>
      <c r="X29" s="4">
        <v>1.6</v>
      </c>
      <c r="Y29" s="4">
        <v>1.2</v>
      </c>
      <c r="Z29" s="4">
        <v>0</v>
      </c>
      <c r="AA29" s="4">
        <v>0</v>
      </c>
      <c r="AB29" s="4"/>
      <c r="AC29" s="4">
        <v>0.16</v>
      </c>
      <c r="AD29" s="4">
        <v>0.01</v>
      </c>
      <c r="AE29" s="4">
        <v>0.06</v>
      </c>
      <c r="AF29" s="4">
        <v>1.2E-2</v>
      </c>
      <c r="AG29" s="4"/>
    </row>
    <row r="30" spans="1:33" x14ac:dyDescent="0.2">
      <c r="A30" s="4" t="s">
        <v>27</v>
      </c>
      <c r="B30" s="5">
        <v>695.19</v>
      </c>
      <c r="C30" s="4">
        <v>415.56</v>
      </c>
      <c r="D30" s="4">
        <v>128.66</v>
      </c>
      <c r="E30" s="4">
        <v>0</v>
      </c>
      <c r="F30" s="4">
        <v>221.5</v>
      </c>
      <c r="G30" s="4">
        <v>10.1</v>
      </c>
      <c r="H30" s="4">
        <v>0.5</v>
      </c>
      <c r="I30" s="4">
        <v>3.15</v>
      </c>
      <c r="J30" s="4">
        <v>36</v>
      </c>
      <c r="K30" s="4">
        <v>1.2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/>
      <c r="R30" s="4">
        <v>14.52</v>
      </c>
      <c r="S30" s="4">
        <v>0.17499999999999999</v>
      </c>
      <c r="T30" s="4"/>
      <c r="U30" s="4"/>
      <c r="V30" s="4">
        <v>4.5</v>
      </c>
      <c r="W30" s="4">
        <v>4</v>
      </c>
      <c r="X30" s="4">
        <v>5.6</v>
      </c>
      <c r="Y30" s="4">
        <v>3</v>
      </c>
      <c r="Z30" s="4">
        <v>18</v>
      </c>
      <c r="AA30" s="4">
        <v>0.25</v>
      </c>
      <c r="AB30" s="4"/>
      <c r="AC30" s="4">
        <v>0.16</v>
      </c>
      <c r="AD30" s="4">
        <v>0.01</v>
      </c>
      <c r="AE30" s="4">
        <v>0.06</v>
      </c>
      <c r="AF30" s="4">
        <v>1.2E-2</v>
      </c>
      <c r="AG30" s="4"/>
    </row>
    <row r="31" spans="1:33" x14ac:dyDescent="0.2">
      <c r="A31" s="4" t="s">
        <v>28</v>
      </c>
      <c r="B31" s="5">
        <v>670.84</v>
      </c>
      <c r="C31" s="4">
        <v>517.55999999999995</v>
      </c>
      <c r="D31" s="4">
        <v>190.15</v>
      </c>
      <c r="E31" s="4">
        <v>0</v>
      </c>
      <c r="F31" s="4">
        <v>502</v>
      </c>
      <c r="G31" s="4">
        <v>10.8</v>
      </c>
      <c r="H31" s="4">
        <v>0</v>
      </c>
      <c r="I31" s="4">
        <v>13.5</v>
      </c>
      <c r="J31" s="4">
        <v>27</v>
      </c>
      <c r="K31" s="4">
        <v>2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/>
      <c r="R31" s="4">
        <v>16</v>
      </c>
      <c r="S31" s="4">
        <v>0.17499999999999999</v>
      </c>
      <c r="T31" s="4"/>
      <c r="U31" s="4"/>
      <c r="V31" s="4">
        <v>1.8</v>
      </c>
      <c r="W31" s="4">
        <v>0</v>
      </c>
      <c r="X31" s="4">
        <v>0.8</v>
      </c>
      <c r="Y31" s="4">
        <v>0.6</v>
      </c>
      <c r="Z31" s="4">
        <v>2.7</v>
      </c>
      <c r="AA31" s="4">
        <v>0</v>
      </c>
      <c r="AB31" s="4"/>
      <c r="AC31" s="4">
        <v>0.16</v>
      </c>
      <c r="AD31" s="4">
        <v>0.01</v>
      </c>
      <c r="AE31" s="4">
        <v>0.06</v>
      </c>
      <c r="AF31" s="4">
        <v>1.2E-2</v>
      </c>
      <c r="AG31" s="4"/>
    </row>
    <row r="32" spans="1:33" x14ac:dyDescent="0.2">
      <c r="A32" s="4" t="s">
        <v>29</v>
      </c>
      <c r="B32" s="5">
        <v>1316.5</v>
      </c>
      <c r="C32" s="5">
        <v>1312.8</v>
      </c>
      <c r="D32" s="4">
        <v>383.42</v>
      </c>
      <c r="E32" s="4">
        <v>0</v>
      </c>
      <c r="F32" s="4">
        <v>1440.4</v>
      </c>
      <c r="G32" s="4">
        <v>155.80000000000001</v>
      </c>
      <c r="H32" s="4">
        <v>0</v>
      </c>
      <c r="I32" s="4">
        <v>0</v>
      </c>
      <c r="J32" s="4">
        <v>135</v>
      </c>
      <c r="K32" s="4">
        <v>4</v>
      </c>
      <c r="L32" s="4">
        <v>0</v>
      </c>
      <c r="M32" s="4">
        <v>4.5</v>
      </c>
      <c r="N32" s="4">
        <v>5</v>
      </c>
      <c r="O32" s="4">
        <v>0.5</v>
      </c>
      <c r="P32" s="4">
        <v>0</v>
      </c>
      <c r="Q32" s="4"/>
      <c r="R32" s="4">
        <v>18.97</v>
      </c>
      <c r="S32" s="4">
        <v>7</v>
      </c>
      <c r="T32" s="4"/>
      <c r="U32" s="4">
        <v>8</v>
      </c>
      <c r="V32" s="4">
        <v>4.5</v>
      </c>
      <c r="W32" s="4">
        <v>3</v>
      </c>
      <c r="X32" s="4">
        <v>3.2</v>
      </c>
      <c r="Y32" s="4">
        <v>1.8</v>
      </c>
      <c r="Z32" s="4">
        <v>9</v>
      </c>
      <c r="AA32" s="4">
        <v>0</v>
      </c>
      <c r="AB32" s="4"/>
      <c r="AC32" s="4">
        <v>0.16</v>
      </c>
      <c r="AD32" s="4">
        <v>0.01</v>
      </c>
      <c r="AE32" s="4">
        <v>1.2E-2</v>
      </c>
      <c r="AF32" s="4">
        <v>1.2E-2</v>
      </c>
      <c r="AG32" s="4"/>
    </row>
    <row r="33" spans="1:33" x14ac:dyDescent="0.2">
      <c r="A33" s="4" t="s">
        <v>30</v>
      </c>
      <c r="B33" s="5">
        <v>881.11</v>
      </c>
      <c r="C33" s="4">
        <v>320.39999999999998</v>
      </c>
      <c r="D33" s="4">
        <v>0</v>
      </c>
      <c r="E33" s="4">
        <v>2246.1</v>
      </c>
      <c r="F33" s="4">
        <v>0</v>
      </c>
      <c r="G33" s="4">
        <v>0</v>
      </c>
      <c r="H33" s="4">
        <v>0</v>
      </c>
      <c r="I33" s="4">
        <v>0</v>
      </c>
      <c r="J33" s="4">
        <v>9</v>
      </c>
      <c r="K33" s="4">
        <v>4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/>
      <c r="R33" s="4">
        <v>0</v>
      </c>
      <c r="S33" s="4">
        <v>0</v>
      </c>
      <c r="T33" s="4"/>
      <c r="U33" s="4"/>
      <c r="V33" s="4">
        <v>6.75</v>
      </c>
      <c r="W33" s="4">
        <v>2</v>
      </c>
      <c r="X33" s="4">
        <v>2.4</v>
      </c>
      <c r="Y33" s="4">
        <v>1.8</v>
      </c>
      <c r="Z33" s="4">
        <v>0</v>
      </c>
      <c r="AA33" s="4">
        <v>0</v>
      </c>
      <c r="AB33" s="4"/>
      <c r="AC33" s="4">
        <v>0.16</v>
      </c>
      <c r="AD33" s="4">
        <v>0.01</v>
      </c>
      <c r="AE33" s="4">
        <v>0.06</v>
      </c>
      <c r="AF33" s="4">
        <v>1.2E-2</v>
      </c>
      <c r="AG33" s="4"/>
    </row>
    <row r="34" spans="1:33" x14ac:dyDescent="0.2">
      <c r="A34" s="4" t="s">
        <v>31</v>
      </c>
      <c r="B34" s="5">
        <v>1037.3399999999999</v>
      </c>
      <c r="C34" s="4">
        <v>626.58000000000004</v>
      </c>
      <c r="D34" s="4">
        <v>351.95</v>
      </c>
      <c r="E34" s="4">
        <v>0</v>
      </c>
      <c r="F34" s="4">
        <v>450.2</v>
      </c>
      <c r="G34" s="4">
        <v>33.6</v>
      </c>
      <c r="H34" s="4">
        <v>1.25</v>
      </c>
      <c r="I34" s="4">
        <v>9</v>
      </c>
      <c r="J34" s="4">
        <v>45</v>
      </c>
      <c r="K34" s="4">
        <v>0.8</v>
      </c>
      <c r="L34" s="4">
        <v>0</v>
      </c>
      <c r="M34" s="4">
        <v>4.5</v>
      </c>
      <c r="N34" s="4">
        <v>5</v>
      </c>
      <c r="O34" s="4">
        <v>5</v>
      </c>
      <c r="P34" s="4">
        <v>0.03</v>
      </c>
      <c r="Q34" s="4"/>
      <c r="R34" s="4">
        <v>13.4</v>
      </c>
      <c r="S34" s="4">
        <v>7</v>
      </c>
      <c r="T34" s="4"/>
      <c r="U34" s="4"/>
      <c r="V34" s="4">
        <v>4.5</v>
      </c>
      <c r="W34" s="4">
        <v>0</v>
      </c>
      <c r="X34" s="4">
        <v>4</v>
      </c>
      <c r="Y34" s="4">
        <v>0</v>
      </c>
      <c r="Z34" s="4">
        <v>18</v>
      </c>
      <c r="AA34" s="4">
        <v>0</v>
      </c>
      <c r="AB34" s="4"/>
      <c r="AC34" s="4">
        <v>0.16</v>
      </c>
      <c r="AD34" s="4">
        <v>0.01</v>
      </c>
      <c r="AE34" s="4">
        <v>1.2E-2</v>
      </c>
      <c r="AF34" s="4">
        <v>1.2E-2</v>
      </c>
      <c r="AG34" s="4"/>
    </row>
    <row r="35" spans="1:33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s="1" customFormat="1" x14ac:dyDescent="0.2">
      <c r="A36" s="7" t="s">
        <v>33</v>
      </c>
      <c r="B36" s="6">
        <f>SUM(B10:B34)</f>
        <v>21685.000000000004</v>
      </c>
      <c r="C36" s="6">
        <f>SUM(C10:C34)</f>
        <v>13109.919999999998</v>
      </c>
      <c r="D36" s="7">
        <f t="shared" ref="D36:AA36" si="0">SUM(D10:D35)</f>
        <v>5812.8899999999985</v>
      </c>
      <c r="E36" s="7">
        <f t="shared" si="0"/>
        <v>19540.93</v>
      </c>
      <c r="F36" s="7">
        <f t="shared" si="0"/>
        <v>8233.5</v>
      </c>
      <c r="G36" s="7">
        <f t="shared" si="0"/>
        <v>487.7000000000001</v>
      </c>
      <c r="H36" s="7">
        <f t="shared" si="0"/>
        <v>7.4</v>
      </c>
      <c r="I36" s="7">
        <f t="shared" si="0"/>
        <v>47.25</v>
      </c>
      <c r="J36" s="7">
        <f t="shared" si="0"/>
        <v>994.5</v>
      </c>
      <c r="K36" s="7">
        <f t="shared" si="0"/>
        <v>182</v>
      </c>
      <c r="L36" s="7">
        <f t="shared" si="0"/>
        <v>24</v>
      </c>
      <c r="M36" s="7">
        <f t="shared" si="0"/>
        <v>515.70000000000005</v>
      </c>
      <c r="N36" s="7">
        <f t="shared" si="0"/>
        <v>72.099999999999994</v>
      </c>
      <c r="O36" s="7">
        <f t="shared" si="0"/>
        <v>27.85</v>
      </c>
      <c r="P36" s="7">
        <f t="shared" si="0"/>
        <v>4.6800000000000006</v>
      </c>
      <c r="Q36" s="7">
        <f t="shared" si="0"/>
        <v>6.75</v>
      </c>
      <c r="R36" s="7">
        <f t="shared" si="0"/>
        <v>250.24</v>
      </c>
      <c r="S36" s="7">
        <f t="shared" si="0"/>
        <v>81.949999999999989</v>
      </c>
      <c r="T36" s="7">
        <f t="shared" si="0"/>
        <v>52.5</v>
      </c>
      <c r="U36" s="7">
        <f t="shared" si="0"/>
        <v>16</v>
      </c>
      <c r="V36" s="7">
        <f t="shared" si="0"/>
        <v>169.20000000000002</v>
      </c>
      <c r="W36" s="7">
        <f t="shared" si="0"/>
        <v>147</v>
      </c>
      <c r="X36" s="7">
        <f t="shared" si="0"/>
        <v>110.39999999999998</v>
      </c>
      <c r="Y36" s="7">
        <f t="shared" si="0"/>
        <v>83.4</v>
      </c>
      <c r="Z36" s="7">
        <f t="shared" si="0"/>
        <v>268.19999999999993</v>
      </c>
      <c r="AA36" s="7">
        <f t="shared" si="0"/>
        <v>1.6450000000000002</v>
      </c>
      <c r="AB36" s="7"/>
      <c r="AC36" s="7">
        <f>SUM(AC10:AC35)</f>
        <v>10.760000000000002</v>
      </c>
      <c r="AD36" s="7">
        <f>SUM(AD10:AD35)</f>
        <v>0.9700000000000002</v>
      </c>
      <c r="AE36" s="7">
        <f>SUM(AE10:AE35)</f>
        <v>7.1699999999999964</v>
      </c>
      <c r="AF36" s="7">
        <f>SUM(AF10:AF35)</f>
        <v>1.2480000000000002</v>
      </c>
      <c r="AG36" s="7">
        <f>SUM(D36:AF36)</f>
        <v>37157.932999999983</v>
      </c>
    </row>
    <row r="37" spans="1:33" x14ac:dyDescent="0.2">
      <c r="E37" t="s">
        <v>80</v>
      </c>
      <c r="H37" t="s">
        <v>65</v>
      </c>
      <c r="I37" t="s">
        <v>66</v>
      </c>
      <c r="J37" t="s">
        <v>67</v>
      </c>
      <c r="K37" t="s">
        <v>68</v>
      </c>
      <c r="L37" t="s">
        <v>69</v>
      </c>
      <c r="M37" t="s">
        <v>70</v>
      </c>
      <c r="N37" t="s">
        <v>71</v>
      </c>
      <c r="O37" t="s">
        <v>72</v>
      </c>
      <c r="P37" t="s">
        <v>73</v>
      </c>
      <c r="Q37" t="s">
        <v>67</v>
      </c>
      <c r="T37" t="s">
        <v>77</v>
      </c>
      <c r="V37" t="s">
        <v>67</v>
      </c>
      <c r="W37" t="s">
        <v>74</v>
      </c>
      <c r="X37" t="s">
        <v>75</v>
      </c>
      <c r="Y37">
        <v>6</v>
      </c>
      <c r="Z37">
        <v>9</v>
      </c>
      <c r="AA37">
        <v>0.5</v>
      </c>
      <c r="AC37">
        <v>8</v>
      </c>
      <c r="AD37">
        <v>10</v>
      </c>
      <c r="AE37">
        <v>6</v>
      </c>
      <c r="AF37" t="s">
        <v>78</v>
      </c>
    </row>
  </sheetData>
  <pageMargins left="0.11811023622047245" right="0.11811023622047245" top="0.15748031496062992" bottom="0.15748031496062992" header="0.31496062992125984" footer="0.31496062992125984"/>
  <pageSetup paperSize="256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6"/>
  <sheetViews>
    <sheetView workbookViewId="0">
      <selection activeCell="J38" sqref="J38"/>
    </sheetView>
  </sheetViews>
  <sheetFormatPr defaultRowHeight="15" x14ac:dyDescent="0.2"/>
  <cols>
    <col min="1" max="1" width="14.390625" customWidth="1"/>
    <col min="4" max="7" width="7.80078125" customWidth="1"/>
    <col min="8" max="8" width="9.55078125" customWidth="1"/>
    <col min="9" max="9" width="6.58984375" customWidth="1"/>
    <col min="10" max="10" width="10.0859375" customWidth="1"/>
    <col min="11" max="11" width="6.859375" customWidth="1"/>
    <col min="12" max="12" width="7.3984375" customWidth="1"/>
    <col min="14" max="14" width="7.3984375" customWidth="1"/>
    <col min="15" max="15" width="7.12890625" customWidth="1"/>
    <col min="16" max="16" width="6.45703125" customWidth="1"/>
    <col min="17" max="17" width="7.3984375" customWidth="1"/>
    <col min="18" max="18" width="7.93359375" customWidth="1"/>
  </cols>
  <sheetData>
    <row r="1" spans="1:19" x14ac:dyDescent="0.2">
      <c r="A1" t="s">
        <v>0</v>
      </c>
    </row>
    <row r="2" spans="1:19" x14ac:dyDescent="0.2">
      <c r="A2" t="s">
        <v>1</v>
      </c>
    </row>
    <row r="3" spans="1:19" x14ac:dyDescent="0.2">
      <c r="A3" t="s">
        <v>2</v>
      </c>
    </row>
    <row r="4" spans="1:19" x14ac:dyDescent="0.2">
      <c r="A4" t="s">
        <v>3</v>
      </c>
    </row>
    <row r="5" spans="1:19" x14ac:dyDescent="0.2">
      <c r="A5" s="1" t="s">
        <v>4</v>
      </c>
    </row>
    <row r="7" spans="1:19" x14ac:dyDescent="0.2">
      <c r="A7" s="1" t="s">
        <v>34</v>
      </c>
    </row>
    <row r="9" spans="1:19" ht="53.1" customHeight="1" x14ac:dyDescent="0.2">
      <c r="A9" s="3" t="s">
        <v>5</v>
      </c>
      <c r="B9" s="3" t="s">
        <v>6</v>
      </c>
      <c r="C9" s="3" t="s">
        <v>32</v>
      </c>
      <c r="D9" s="3" t="s">
        <v>61</v>
      </c>
      <c r="E9" s="3" t="s">
        <v>48</v>
      </c>
      <c r="F9" s="3" t="s">
        <v>62</v>
      </c>
      <c r="G9" s="3" t="s">
        <v>49</v>
      </c>
      <c r="H9" s="3" t="s">
        <v>50</v>
      </c>
      <c r="I9" s="3" t="s">
        <v>63</v>
      </c>
      <c r="J9" s="3" t="s">
        <v>51</v>
      </c>
      <c r="K9" s="3" t="s">
        <v>52</v>
      </c>
      <c r="L9" s="3" t="s">
        <v>53</v>
      </c>
      <c r="M9" s="3" t="s">
        <v>54</v>
      </c>
      <c r="N9" s="3" t="s">
        <v>55</v>
      </c>
      <c r="O9" s="3" t="s">
        <v>56</v>
      </c>
      <c r="P9" s="3" t="s">
        <v>57</v>
      </c>
      <c r="Q9" s="3" t="s">
        <v>58</v>
      </c>
      <c r="R9" s="3" t="s">
        <v>59</v>
      </c>
      <c r="S9" s="3" t="s">
        <v>60</v>
      </c>
    </row>
    <row r="10" spans="1:19" x14ac:dyDescent="0.2">
      <c r="A10" s="4" t="s">
        <v>7</v>
      </c>
      <c r="B10" s="5">
        <v>1245.98</v>
      </c>
      <c r="C10" s="4">
        <v>809.19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x14ac:dyDescent="0.2">
      <c r="A11" s="4" t="s">
        <v>8</v>
      </c>
      <c r="B11" s="5">
        <v>1001.11</v>
      </c>
      <c r="C11" s="4">
        <v>604.27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x14ac:dyDescent="0.2">
      <c r="A12" s="4" t="s">
        <v>9</v>
      </c>
      <c r="B12" s="5">
        <v>1085.18</v>
      </c>
      <c r="C12" s="4">
        <v>913.52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x14ac:dyDescent="0.2">
      <c r="A13" s="4" t="s">
        <v>10</v>
      </c>
      <c r="B13" s="5">
        <v>1440.15</v>
      </c>
      <c r="C13" s="4">
        <v>496.28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x14ac:dyDescent="0.2">
      <c r="A14" s="4" t="s">
        <v>11</v>
      </c>
      <c r="B14" s="5">
        <v>835.56</v>
      </c>
      <c r="C14" s="4">
        <v>536.87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x14ac:dyDescent="0.2">
      <c r="A15" s="4" t="s">
        <v>12</v>
      </c>
      <c r="B15" s="5">
        <v>739.4</v>
      </c>
      <c r="C15" s="4">
        <v>306.58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2">
      <c r="A16" s="4" t="s">
        <v>13</v>
      </c>
      <c r="B16" s="5">
        <v>890.52</v>
      </c>
      <c r="C16" s="4">
        <v>268.17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2">
      <c r="A17" s="4" t="s">
        <v>14</v>
      </c>
      <c r="B17" s="5">
        <v>1111.6099999999999</v>
      </c>
      <c r="C17" s="4">
        <v>872.38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2">
      <c r="A18" s="4" t="s">
        <v>15</v>
      </c>
      <c r="B18" s="5">
        <v>1081.96</v>
      </c>
      <c r="C18" s="4">
        <v>484.11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x14ac:dyDescent="0.2">
      <c r="A19" s="4" t="s">
        <v>16</v>
      </c>
      <c r="B19" s="5">
        <v>820.93</v>
      </c>
      <c r="C19" s="4">
        <v>480.05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2">
      <c r="A20" s="4" t="s">
        <v>17</v>
      </c>
      <c r="B20" s="5">
        <v>1374.81</v>
      </c>
      <c r="C20" s="5">
        <v>1179.53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 x14ac:dyDescent="0.2">
      <c r="A21" s="4" t="s">
        <v>18</v>
      </c>
      <c r="B21" s="5">
        <v>787.12</v>
      </c>
      <c r="C21" s="4">
        <v>265.04000000000002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 x14ac:dyDescent="0.2">
      <c r="A22" s="4" t="s">
        <v>19</v>
      </c>
      <c r="B22" s="5">
        <v>1284.02</v>
      </c>
      <c r="C22" s="4">
        <v>470.14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 x14ac:dyDescent="0.2">
      <c r="A23" s="4" t="s">
        <v>20</v>
      </c>
      <c r="B23" s="5">
        <v>925.16</v>
      </c>
      <c r="C23" s="4">
        <v>590.91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x14ac:dyDescent="0.2">
      <c r="A24" s="4" t="s">
        <v>21</v>
      </c>
      <c r="B24" s="5">
        <v>48.15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x14ac:dyDescent="0.2">
      <c r="A25" s="4" t="s">
        <v>22</v>
      </c>
      <c r="B25" s="5">
        <v>48.36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x14ac:dyDescent="0.2">
      <c r="A26" s="4" t="s">
        <v>23</v>
      </c>
      <c r="B26" s="5">
        <v>26.17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x14ac:dyDescent="0.2">
      <c r="A27" s="4" t="s">
        <v>24</v>
      </c>
      <c r="B27" s="5">
        <v>1034.01</v>
      </c>
      <c r="C27" s="4">
        <v>498.08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 x14ac:dyDescent="0.2">
      <c r="A28" s="4" t="s">
        <v>25</v>
      </c>
      <c r="B28" s="5">
        <v>863.37</v>
      </c>
      <c r="C28" s="4">
        <v>726.65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 x14ac:dyDescent="0.2">
      <c r="A29" s="4" t="s">
        <v>26</v>
      </c>
      <c r="B29" s="5">
        <v>440.45</v>
      </c>
      <c r="C29" s="4">
        <v>415.25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 x14ac:dyDescent="0.2">
      <c r="A30" s="4" t="s">
        <v>27</v>
      </c>
      <c r="B30" s="5">
        <v>695.19</v>
      </c>
      <c r="C30" s="4">
        <v>415.56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1:19" x14ac:dyDescent="0.2">
      <c r="A31" s="4" t="s">
        <v>28</v>
      </c>
      <c r="B31" s="5">
        <v>670.84</v>
      </c>
      <c r="C31" s="4">
        <v>517.55999999999995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x14ac:dyDescent="0.2">
      <c r="A32" s="4" t="s">
        <v>29</v>
      </c>
      <c r="B32" s="5">
        <v>1316.5</v>
      </c>
      <c r="C32" s="5">
        <v>1312.8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2">
      <c r="A33" s="4" t="s">
        <v>30</v>
      </c>
      <c r="B33" s="5">
        <v>881.11</v>
      </c>
      <c r="C33" s="4">
        <v>320.39999999999998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2">
      <c r="A34" s="4" t="s">
        <v>31</v>
      </c>
      <c r="B34" s="5">
        <v>1037.3399999999999</v>
      </c>
      <c r="C34" s="4">
        <v>626.58000000000004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x14ac:dyDescent="0.2">
      <c r="A36" s="4" t="s">
        <v>33</v>
      </c>
      <c r="B36" s="6">
        <f>SUM(B10:B34)</f>
        <v>21685.000000000004</v>
      </c>
      <c r="C36" s="6">
        <f>SUM(C10:C34)</f>
        <v>13109.919999999998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</sheetData>
  <pageMargins left="0.11811023622047245" right="0.11811023622047245" top="0.15748031496062992" bottom="0.15748031496062992" header="0.31496062992125984" footer="0.31496062992125984"/>
  <pageSetup paperSize="256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Volume of Prod. per Barangay (1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elmer ollanas</dc:creator>
  <cp:lastModifiedBy>user</cp:lastModifiedBy>
  <cp:lastPrinted>2025-01-17T02:35:08Z</cp:lastPrinted>
  <dcterms:created xsi:type="dcterms:W3CDTF">2024-09-20T07:11:44Z</dcterms:created>
  <dcterms:modified xsi:type="dcterms:W3CDTF">2025-01-21T06:25:04Z</dcterms:modified>
</cp:coreProperties>
</file>