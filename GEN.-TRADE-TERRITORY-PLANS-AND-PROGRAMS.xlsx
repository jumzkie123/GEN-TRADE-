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 activeTab="4"/>
  </bookViews>
  <sheets>
    <sheet name="POT" sheetId="6" r:id="rId1"/>
    <sheet name="Sales Projection (Dist)" sheetId="5" r:id="rId2"/>
    <sheet name="Mkt Devt Activity" sheetId="4" r:id="rId3"/>
    <sheet name="Sales Projection" sheetId="3" r:id="rId4"/>
    <sheet name="Mkt Potential" sheetId="2" r:id="rId5"/>
    <sheet name="Hectarages" sheetId="1" r:id="rId6"/>
  </sheets>
  <definedNames>
    <definedName name="_xlnm.Print_Area" localSheetId="5">Hectarages!$A$1:$M$43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<sst xmlns="http://schemas.openxmlformats.org/spreadsheetml/2006/main" count="247" uniqueCount="95">
  <si>
    <t>Product</t>
  </si>
  <si>
    <t>Crop</t>
  </si>
  <si>
    <t>Rice</t>
  </si>
  <si>
    <t>Corn</t>
  </si>
  <si>
    <t>Cabbage</t>
  </si>
  <si>
    <t>Potato</t>
  </si>
  <si>
    <t>Onion</t>
  </si>
  <si>
    <t>Herbicides</t>
  </si>
  <si>
    <t>Polygon</t>
  </si>
  <si>
    <t>24D</t>
  </si>
  <si>
    <t>Insecticides</t>
  </si>
  <si>
    <t>Atemi</t>
  </si>
  <si>
    <t>Cypermethrin</t>
  </si>
  <si>
    <t>Cartap</t>
  </si>
  <si>
    <t>Octane</t>
  </si>
  <si>
    <t>Fungicides</t>
  </si>
  <si>
    <t>Antracure</t>
  </si>
  <si>
    <t>Fytofert</t>
  </si>
  <si>
    <t>Others</t>
  </si>
  <si>
    <t>Delfan Plus</t>
  </si>
  <si>
    <t>Sales Projection</t>
  </si>
  <si>
    <t>Jan</t>
  </si>
  <si>
    <t>Feb</t>
  </si>
  <si>
    <t>Mar</t>
  </si>
  <si>
    <t>Apr</t>
  </si>
  <si>
    <t>May</t>
  </si>
  <si>
    <t>Jun</t>
  </si>
  <si>
    <t>Vol</t>
  </si>
  <si>
    <t>Val</t>
  </si>
  <si>
    <t>Distributor 1</t>
  </si>
  <si>
    <t>Distributor 2</t>
  </si>
  <si>
    <t>Distributor 3</t>
  </si>
  <si>
    <t>Total</t>
  </si>
  <si>
    <t>Jul</t>
  </si>
  <si>
    <t>Aug</t>
  </si>
  <si>
    <t>Sep</t>
  </si>
  <si>
    <t>Oct</t>
  </si>
  <si>
    <t>Nov</t>
  </si>
  <si>
    <t>Dec</t>
  </si>
  <si>
    <t>Activity</t>
  </si>
  <si>
    <t>Target Farmers Reached</t>
  </si>
  <si>
    <t>Qty</t>
  </si>
  <si>
    <t># Farmers</t>
  </si>
  <si>
    <t>Market Survey / Data Gathering</t>
  </si>
  <si>
    <t>Farmer Visitation</t>
  </si>
  <si>
    <t>Spot Demo</t>
  </si>
  <si>
    <t>Organized Demo</t>
  </si>
  <si>
    <t>Farmers Meeting</t>
  </si>
  <si>
    <t>Harvest Festival/Mtg</t>
  </si>
  <si>
    <t>Coop/Asso Visit</t>
  </si>
  <si>
    <t>Dealers Call</t>
  </si>
  <si>
    <t>Market Potential</t>
  </si>
  <si>
    <t>Herbicide</t>
  </si>
  <si>
    <t>Insecticide</t>
  </si>
  <si>
    <t>Molluscicide</t>
  </si>
  <si>
    <t xml:space="preserve">Fungicide </t>
  </si>
  <si>
    <t>Volume</t>
  </si>
  <si>
    <t>Value</t>
  </si>
  <si>
    <t>Veg</t>
  </si>
  <si>
    <t>Mango (# of Bearing Trees)</t>
  </si>
  <si>
    <t>Other Crops</t>
  </si>
  <si>
    <t>REGION</t>
  </si>
  <si>
    <t>PHILIPPINE AGRICULTURE HECTARAGE PER CROP</t>
  </si>
  <si>
    <t>RICE</t>
  </si>
  <si>
    <t>CORN</t>
  </si>
  <si>
    <t>BANANA</t>
  </si>
  <si>
    <t>PINEAPPLE</t>
  </si>
  <si>
    <t>MANGO</t>
  </si>
  <si>
    <t>TOTAL HECTARAGE</t>
  </si>
  <si>
    <t>PERCENTAGE (%)</t>
  </si>
  <si>
    <t xml:space="preserve">  CAR (Cordellira Administrative Region)</t>
  </si>
  <si>
    <t>Municipal 1 (sample)</t>
  </si>
  <si>
    <t xml:space="preserve">                     Barangay 1</t>
  </si>
  <si>
    <t xml:space="preserve">                     Barangay 2</t>
  </si>
  <si>
    <t xml:space="preserve">                     Barangay 3</t>
  </si>
  <si>
    <t xml:space="preserve">                     Barangay 4</t>
  </si>
  <si>
    <t xml:space="preserve">                     Barangay 5</t>
  </si>
  <si>
    <t>Municipal 2 (sample)</t>
  </si>
  <si>
    <t>Municipal 3 (sample)</t>
  </si>
  <si>
    <r>
      <t>Region I:</t>
    </r>
    <r>
      <rPr>
        <sz val="12"/>
        <color rgb="FF0A0A0A"/>
        <rFont val="Arial"/>
        <charset val="134"/>
      </rPr>
      <t> Ilocos Region</t>
    </r>
  </si>
  <si>
    <r>
      <t>Region II:</t>
    </r>
    <r>
      <rPr>
        <sz val="12"/>
        <color rgb="FF0A0A0A"/>
        <rFont val="Arial"/>
        <charset val="134"/>
      </rPr>
      <t> Cagayan Valley</t>
    </r>
  </si>
  <si>
    <r>
      <t>Region III:</t>
    </r>
    <r>
      <rPr>
        <sz val="12"/>
        <color rgb="FF0A0A0A"/>
        <rFont val="Arial"/>
        <charset val="134"/>
      </rPr>
      <t> Central Luzon</t>
    </r>
  </si>
  <si>
    <r>
      <t>Region IV-A:</t>
    </r>
    <r>
      <rPr>
        <sz val="12"/>
        <color rgb="FF0A0A0A"/>
        <rFont val="Arial"/>
        <charset val="134"/>
      </rPr>
      <t> CALABARZON (Cavite, Laguna, Batangas, Rizal, Quezon)</t>
    </r>
  </si>
  <si>
    <r>
      <t>MIMAROPA:</t>
    </r>
    <r>
      <rPr>
        <sz val="12"/>
        <color rgb="FF0A0A0A"/>
        <rFont val="Arial"/>
        <charset val="134"/>
      </rPr>
      <t> Southwestern Tagalog Region (Mindoro, Marinduque, Romblon, Palawan)</t>
    </r>
  </si>
  <si>
    <r>
      <t>Region V:</t>
    </r>
    <r>
      <rPr>
        <sz val="12"/>
        <color rgb="FF0A0A0A"/>
        <rFont val="Arial"/>
        <charset val="134"/>
      </rPr>
      <t> Bicol Region </t>
    </r>
  </si>
  <si>
    <r>
      <t>Region VI:</t>
    </r>
    <r>
      <rPr>
        <sz val="12"/>
        <color rgb="FF0A0A0A"/>
        <rFont val="Arial"/>
        <charset val="134"/>
      </rPr>
      <t> Western Visayas</t>
    </r>
  </si>
  <si>
    <r>
      <t>Region VII:</t>
    </r>
    <r>
      <rPr>
        <sz val="12"/>
        <color rgb="FF0A0A0A"/>
        <rFont val="Arial"/>
        <charset val="134"/>
      </rPr>
      <t> Central Visayas</t>
    </r>
  </si>
  <si>
    <r>
      <t>Region VIII:</t>
    </r>
    <r>
      <rPr>
        <sz val="12"/>
        <color rgb="FF0A0A0A"/>
        <rFont val="Arial"/>
        <charset val="134"/>
      </rPr>
      <t> Eastern Visayas</t>
    </r>
  </si>
  <si>
    <r>
      <t>NIR:</t>
    </r>
    <r>
      <rPr>
        <sz val="12"/>
        <color rgb="FF0A0A0A"/>
        <rFont val="Arial"/>
        <charset val="134"/>
      </rPr>
      <t> Negros Island Region </t>
    </r>
  </si>
  <si>
    <r>
      <t>Region IX:</t>
    </r>
    <r>
      <rPr>
        <sz val="12"/>
        <color rgb="FF0A0A0A"/>
        <rFont val="Arial"/>
        <charset val="134"/>
      </rPr>
      <t> Zamboanga Peninsula</t>
    </r>
  </si>
  <si>
    <r>
      <t>Region X:</t>
    </r>
    <r>
      <rPr>
        <sz val="12"/>
        <color rgb="FF0A0A0A"/>
        <rFont val="Arial"/>
        <charset val="134"/>
      </rPr>
      <t> Northern Mindanao</t>
    </r>
  </si>
  <si>
    <r>
      <t>Region XI:</t>
    </r>
    <r>
      <rPr>
        <sz val="12"/>
        <color rgb="FF0A0A0A"/>
        <rFont val="Arial"/>
        <charset val="134"/>
      </rPr>
      <t> Davao Region</t>
    </r>
  </si>
  <si>
    <r>
      <t>Region XII:</t>
    </r>
    <r>
      <rPr>
        <sz val="12"/>
        <color rgb="FF0A0A0A"/>
        <rFont val="Arial"/>
        <charset val="134"/>
      </rPr>
      <t> SOCCSKSARGEN (South Cotabato, Cotabato, Sultan Kudarat, Sarangani, General Santos)</t>
    </r>
  </si>
  <si>
    <r>
      <t>Region XIII:</t>
    </r>
    <r>
      <rPr>
        <sz val="12"/>
        <color rgb="FF0A0A0A"/>
        <rFont val="Arial"/>
        <charset val="134"/>
      </rPr>
      <t> Caraga</t>
    </r>
  </si>
  <si>
    <r>
      <t>BARMM:</t>
    </r>
    <r>
      <rPr>
        <sz val="12"/>
        <color rgb="FF0A0A0A"/>
        <rFont val="Arial"/>
        <charset val="134"/>
      </rPr>
      <t> Bangsamoro Autonomous Region in Muslim Mindanao 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</si>
</sst>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1">
    <font>
      <sz val="11"/>
      <color theme="1"/>
      <name val="Aptos Narrow"/>
      <charset val="134"/>
      <scheme val="minor"/>
    </font>
    <font>
      <sz val="11"/>
      <color theme="1"/>
      <name val="Arial"/>
      <charset val="134"/>
    </font>
    <font>
      <b/>
      <sz val="11"/>
      <color theme="1"/>
      <name val="Arial"/>
      <charset val="134"/>
    </font>
    <font>
      <b/>
      <sz val="12"/>
      <color theme="1"/>
      <name val="Arial"/>
      <charset val="134"/>
    </font>
    <font>
      <b/>
      <sz val="12"/>
      <color rgb="FF000000"/>
      <name val="Arial"/>
      <charset val="134"/>
    </font>
    <font>
      <b/>
      <sz val="12"/>
      <color rgb="FFFF0000"/>
      <name val="Arial"/>
      <charset val="134"/>
    </font>
    <font>
      <sz val="12"/>
      <color rgb="FF0A0A0A"/>
      <name val="Arial"/>
      <charset val="134"/>
    </font>
    <font>
      <sz val="11"/>
      <color rgb="FFFF0000"/>
      <name val="Arial"/>
      <charset val="134"/>
    </font>
    <font>
      <sz val="12"/>
      <color rgb="FFFF0000"/>
      <name val="Arial"/>
      <charset val="134"/>
    </font>
    <font>
      <b/>
      <sz val="11"/>
      <color rgb="FFFF0000"/>
      <name val="Arial"/>
      <charset val="134"/>
    </font>
    <font>
      <b/>
      <sz val="12"/>
      <color rgb="FF0A0A0A"/>
      <name val="Arial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177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2" borderId="9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3" borderId="12" applyNumberFormat="0" applyAlignment="0" applyProtection="0">
      <alignment vertical="center"/>
    </xf>
    <xf numFmtId="0" fontId="21" fillId="4" borderId="13" applyNumberFormat="0" applyAlignment="0" applyProtection="0">
      <alignment vertical="center"/>
    </xf>
    <xf numFmtId="0" fontId="22" fillId="4" borderId="12" applyNumberFormat="0" applyAlignment="0" applyProtection="0">
      <alignment vertical="center"/>
    </xf>
    <xf numFmtId="0" fontId="23" fillId="5" borderId="14" applyNumberFormat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</cellStyleXfs>
  <cellXfs count="33">
    <xf numFmtId="0" fontId="0" fillId="0" borderId="0" xfId="0"/>
    <xf numFmtId="0" fontId="1" fillId="0" borderId="0" xfId="0" applyFont="1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4" fontId="2" fillId="0" borderId="6" xfId="0" applyNumberFormat="1" applyFont="1" applyBorder="1" applyAlignment="1">
      <alignment horizontal="center"/>
    </xf>
    <xf numFmtId="0" fontId="4" fillId="0" borderId="6" xfId="0" applyFont="1" applyBorder="1" applyAlignment="1">
      <alignment horizontal="left" vertical="center" wrapText="1"/>
    </xf>
    <xf numFmtId="9" fontId="4" fillId="0" borderId="6" xfId="0" applyNumberFormat="1" applyFont="1" applyBorder="1" applyAlignment="1">
      <alignment horizontal="center" vertical="center" wrapText="1"/>
    </xf>
    <xf numFmtId="9" fontId="2" fillId="0" borderId="6" xfId="0" applyNumberFormat="1" applyFont="1" applyBorder="1" applyAlignment="1">
      <alignment horizontal="center"/>
    </xf>
    <xf numFmtId="0" fontId="5" fillId="0" borderId="6" xfId="0" applyFont="1" applyBorder="1" applyAlignment="1">
      <alignment horizontal="left" vertical="center" wrapText="1" indent="1"/>
    </xf>
    <xf numFmtId="9" fontId="6" fillId="0" borderId="6" xfId="0" applyNumberFormat="1" applyFont="1" applyBorder="1" applyAlignment="1">
      <alignment horizontal="center" vertical="center" wrapText="1"/>
    </xf>
    <xf numFmtId="4" fontId="7" fillId="0" borderId="6" xfId="0" applyNumberFormat="1" applyFont="1" applyBorder="1" applyAlignment="1">
      <alignment horizontal="center"/>
    </xf>
    <xf numFmtId="9" fontId="1" fillId="0" borderId="6" xfId="0" applyNumberFormat="1" applyFont="1" applyBorder="1" applyAlignment="1">
      <alignment horizontal="center"/>
    </xf>
    <xf numFmtId="4" fontId="1" fillId="0" borderId="6" xfId="0" applyNumberFormat="1" applyFont="1" applyBorder="1" applyAlignment="1">
      <alignment horizontal="center"/>
    </xf>
    <xf numFmtId="0" fontId="8" fillId="0" borderId="6" xfId="0" applyFont="1" applyBorder="1" applyAlignment="1">
      <alignment horizontal="left" vertical="center" wrapText="1" indent="1"/>
    </xf>
    <xf numFmtId="4" fontId="9" fillId="0" borderId="6" xfId="0" applyNumberFormat="1" applyFont="1" applyBorder="1" applyAlignment="1">
      <alignment horizontal="center"/>
    </xf>
    <xf numFmtId="0" fontId="10" fillId="0" borderId="6" xfId="0" applyFont="1" applyBorder="1" applyAlignment="1">
      <alignment horizontal="left" vertical="center" wrapText="1" indent="1"/>
    </xf>
    <xf numFmtId="9" fontId="10" fillId="0" borderId="6" xfId="0" applyNumberFormat="1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/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6" xfId="0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18"/>
  <sheetViews>
    <sheetView workbookViewId="0">
      <selection activeCell="B1" sqref="B1:B2"/>
    </sheetView>
  </sheetViews>
  <sheetFormatPr defaultColWidth="9" defaultRowHeight="13.5" outlineLevelCol="7"/>
  <cols>
    <col min="2" max="2" width="25.425" customWidth="1"/>
    <col min="3" max="8" width="16.2833333333333" customWidth="1"/>
  </cols>
  <sheetData>
    <row r="1" spans="2:8">
      <c r="B1" s="23" t="s">
        <v>0</v>
      </c>
      <c r="C1" s="24" t="s">
        <v>1</v>
      </c>
      <c r="D1" s="24"/>
      <c r="E1" s="24"/>
      <c r="F1" s="24"/>
      <c r="G1" s="24"/>
      <c r="H1" s="24"/>
    </row>
    <row r="2" spans="2:8">
      <c r="B2" s="23"/>
      <c r="C2" s="24" t="s">
        <v>2</v>
      </c>
      <c r="D2" s="24" t="s">
        <v>3</v>
      </c>
      <c r="E2" s="24" t="s">
        <v>4</v>
      </c>
      <c r="F2" s="24" t="s">
        <v>5</v>
      </c>
      <c r="G2" s="24" t="s">
        <v>6</v>
      </c>
      <c r="H2" s="28"/>
    </row>
    <row r="3" spans="2:8">
      <c r="B3" s="28" t="s">
        <v>7</v>
      </c>
      <c r="C3" s="28" t="s">
        <v>8</v>
      </c>
      <c r="D3" s="28"/>
      <c r="E3" s="28"/>
      <c r="F3" s="28"/>
      <c r="G3" s="28"/>
      <c r="H3" s="28"/>
    </row>
    <row r="4" spans="2:8">
      <c r="B4" s="28"/>
      <c r="C4" s="28" t="s">
        <v>9</v>
      </c>
      <c r="D4" s="28"/>
      <c r="E4" s="28"/>
      <c r="F4" s="28"/>
      <c r="G4" s="28"/>
      <c r="H4" s="28"/>
    </row>
    <row r="5" spans="2:8">
      <c r="B5" s="28"/>
      <c r="C5" s="28"/>
      <c r="D5" s="28"/>
      <c r="E5" s="28"/>
      <c r="F5" s="28"/>
      <c r="G5" s="28"/>
      <c r="H5" s="28"/>
    </row>
    <row r="6" spans="2:8">
      <c r="B6" s="29" t="s">
        <v>10</v>
      </c>
      <c r="C6" s="28" t="s">
        <v>11</v>
      </c>
      <c r="D6" s="28"/>
      <c r="E6" s="28"/>
      <c r="F6" s="28"/>
      <c r="G6" s="28"/>
      <c r="H6" s="28"/>
    </row>
    <row r="7" spans="2:8">
      <c r="B7" s="29"/>
      <c r="C7" s="28" t="s">
        <v>12</v>
      </c>
      <c r="D7" s="28"/>
      <c r="E7" s="28"/>
      <c r="F7" s="28"/>
      <c r="G7" s="28"/>
      <c r="H7" s="28"/>
    </row>
    <row r="8" spans="2:8">
      <c r="B8" s="29"/>
      <c r="C8" s="28" t="s">
        <v>13</v>
      </c>
      <c r="D8" s="28"/>
      <c r="E8" s="28"/>
      <c r="F8" s="28"/>
      <c r="G8" s="28"/>
      <c r="H8" s="28"/>
    </row>
    <row r="9" spans="2:8">
      <c r="B9" s="29"/>
      <c r="C9" s="28" t="s">
        <v>14</v>
      </c>
      <c r="D9" s="28"/>
      <c r="E9" s="28"/>
      <c r="F9" s="28"/>
      <c r="G9" s="28"/>
      <c r="H9" s="28"/>
    </row>
    <row r="10" spans="2:8">
      <c r="B10" s="29"/>
      <c r="C10" s="28"/>
      <c r="D10" s="28"/>
      <c r="E10" s="28"/>
      <c r="F10" s="28"/>
      <c r="G10" s="28"/>
      <c r="H10" s="28"/>
    </row>
    <row r="11" spans="2:8">
      <c r="B11" s="29" t="s">
        <v>15</v>
      </c>
      <c r="C11" s="28" t="s">
        <v>16</v>
      </c>
      <c r="D11" s="28"/>
      <c r="E11" s="28"/>
      <c r="F11" s="28"/>
      <c r="G11" s="28"/>
      <c r="H11" s="28"/>
    </row>
    <row r="12" spans="2:8">
      <c r="B12" s="28"/>
      <c r="C12" s="28" t="s">
        <v>17</v>
      </c>
      <c r="D12" s="28"/>
      <c r="E12" s="28"/>
      <c r="F12" s="28"/>
      <c r="G12" s="28"/>
      <c r="H12" s="28"/>
    </row>
    <row r="13" spans="2:8">
      <c r="B13" s="28"/>
      <c r="C13" s="28"/>
      <c r="D13" s="28"/>
      <c r="E13" s="28"/>
      <c r="F13" s="28"/>
      <c r="G13" s="28"/>
      <c r="H13" s="28"/>
    </row>
    <row r="14" spans="2:8">
      <c r="B14" s="29"/>
      <c r="C14" s="28"/>
      <c r="D14" s="28"/>
      <c r="E14" s="28"/>
      <c r="F14" s="28"/>
      <c r="G14" s="28"/>
      <c r="H14" s="28"/>
    </row>
    <row r="15" spans="2:8">
      <c r="B15" s="29" t="s">
        <v>18</v>
      </c>
      <c r="C15" s="28" t="s">
        <v>19</v>
      </c>
      <c r="D15" s="28"/>
      <c r="E15" s="28"/>
      <c r="F15" s="28"/>
      <c r="G15" s="28"/>
      <c r="H15" s="28"/>
    </row>
    <row r="16" spans="2:8">
      <c r="B16" s="29"/>
      <c r="C16" s="28"/>
      <c r="D16" s="28"/>
      <c r="E16" s="28"/>
      <c r="F16" s="28"/>
      <c r="G16" s="28"/>
      <c r="H16" s="28"/>
    </row>
    <row r="17" spans="2:8">
      <c r="B17" s="29"/>
      <c r="C17" s="28"/>
      <c r="D17" s="28"/>
      <c r="E17" s="28"/>
      <c r="F17" s="28"/>
      <c r="G17" s="28"/>
      <c r="H17" s="28"/>
    </row>
    <row r="18" spans="2:8">
      <c r="B18" s="28"/>
      <c r="C18" s="28"/>
      <c r="D18" s="28"/>
      <c r="E18" s="28"/>
      <c r="F18" s="28"/>
      <c r="G18" s="28"/>
      <c r="H18" s="28"/>
    </row>
  </sheetData>
  <mergeCells count="2">
    <mergeCell ref="C1:H1"/>
    <mergeCell ref="B1:B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P39"/>
  <sheetViews>
    <sheetView workbookViewId="0">
      <selection activeCell="J7" sqref="J7"/>
    </sheetView>
  </sheetViews>
  <sheetFormatPr defaultColWidth="9" defaultRowHeight="13.5"/>
  <cols>
    <col min="2" max="2" width="25.425" customWidth="1"/>
    <col min="3" max="12" width="8.425" customWidth="1"/>
  </cols>
  <sheetData>
    <row r="1" spans="2:14">
      <c r="B1" s="23" t="s">
        <v>0</v>
      </c>
      <c r="C1" s="30" t="s">
        <v>20</v>
      </c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</row>
    <row r="2" spans="2:14">
      <c r="B2" s="23"/>
      <c r="C2" s="25" t="s">
        <v>21</v>
      </c>
      <c r="D2" s="26"/>
      <c r="E2" s="25" t="s">
        <v>22</v>
      </c>
      <c r="F2" s="26"/>
      <c r="G2" s="25" t="s">
        <v>23</v>
      </c>
      <c r="H2" s="26"/>
      <c r="I2" s="25" t="s">
        <v>24</v>
      </c>
      <c r="J2" s="26"/>
      <c r="K2" s="25" t="s">
        <v>25</v>
      </c>
      <c r="L2" s="26"/>
      <c r="M2" s="25" t="s">
        <v>26</v>
      </c>
      <c r="N2" s="26"/>
    </row>
    <row r="3" spans="2:14">
      <c r="B3" s="23"/>
      <c r="C3" s="24" t="s">
        <v>27</v>
      </c>
      <c r="D3" s="24" t="s">
        <v>28</v>
      </c>
      <c r="E3" s="24" t="s">
        <v>27</v>
      </c>
      <c r="F3" s="24" t="s">
        <v>28</v>
      </c>
      <c r="G3" s="24" t="s">
        <v>27</v>
      </c>
      <c r="H3" s="24" t="s">
        <v>28</v>
      </c>
      <c r="I3" s="24" t="s">
        <v>27</v>
      </c>
      <c r="J3" s="24" t="s">
        <v>28</v>
      </c>
      <c r="K3" s="24" t="s">
        <v>27</v>
      </c>
      <c r="L3" s="24" t="s">
        <v>28</v>
      </c>
      <c r="M3" s="24" t="s">
        <v>27</v>
      </c>
      <c r="N3" s="24" t="s">
        <v>28</v>
      </c>
    </row>
    <row r="4" spans="2:14">
      <c r="B4" s="28" t="s">
        <v>29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</row>
    <row r="5" spans="2:14"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</row>
    <row r="6" spans="2:14"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</row>
    <row r="7" spans="2:14">
      <c r="B7" s="29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</row>
    <row r="8" spans="2:14">
      <c r="B8" s="29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</row>
    <row r="9" spans="2:14">
      <c r="B9" s="29" t="s">
        <v>30</v>
      </c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</row>
    <row r="10" spans="2:14">
      <c r="B10" s="29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</row>
    <row r="11" spans="2:14">
      <c r="B11" s="29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2:14">
      <c r="B12" s="29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</row>
    <row r="13" spans="2:14"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</row>
    <row r="14" spans="2:14">
      <c r="B14" s="28" t="s">
        <v>31</v>
      </c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</row>
    <row r="15" spans="2:14">
      <c r="B15" s="29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</row>
    <row r="16" spans="2:14">
      <c r="B16" s="29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</row>
    <row r="17" spans="2:14">
      <c r="B17" s="29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</row>
    <row r="18" spans="2:14">
      <c r="B18" s="29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</row>
    <row r="19" spans="2:14">
      <c r="B19" s="28" t="s">
        <v>32</v>
      </c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</row>
    <row r="21" spans="2:16">
      <c r="B21" s="23" t="s">
        <v>0</v>
      </c>
      <c r="C21" s="24" t="s">
        <v>20</v>
      </c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</row>
    <row r="22" spans="2:16">
      <c r="B22" s="23"/>
      <c r="C22" s="24" t="s">
        <v>33</v>
      </c>
      <c r="D22" s="24"/>
      <c r="E22" s="24" t="s">
        <v>34</v>
      </c>
      <c r="F22" s="24"/>
      <c r="G22" s="24" t="s">
        <v>35</v>
      </c>
      <c r="H22" s="24"/>
      <c r="I22" s="24" t="s">
        <v>36</v>
      </c>
      <c r="J22" s="24"/>
      <c r="K22" s="24" t="s">
        <v>37</v>
      </c>
      <c r="L22" s="24"/>
      <c r="M22" s="24" t="s">
        <v>38</v>
      </c>
      <c r="N22" s="24"/>
      <c r="O22" s="24" t="s">
        <v>32</v>
      </c>
      <c r="P22" s="24"/>
    </row>
    <row r="23" spans="2:16">
      <c r="B23" s="23"/>
      <c r="C23" s="24" t="s">
        <v>27</v>
      </c>
      <c r="D23" s="24" t="s">
        <v>28</v>
      </c>
      <c r="E23" s="24" t="s">
        <v>27</v>
      </c>
      <c r="F23" s="24" t="s">
        <v>28</v>
      </c>
      <c r="G23" s="24" t="s">
        <v>27</v>
      </c>
      <c r="H23" s="24" t="s">
        <v>28</v>
      </c>
      <c r="I23" s="24" t="s">
        <v>27</v>
      </c>
      <c r="J23" s="24" t="s">
        <v>28</v>
      </c>
      <c r="K23" s="24" t="s">
        <v>27</v>
      </c>
      <c r="L23" s="24" t="s">
        <v>28</v>
      </c>
      <c r="M23" s="24" t="s">
        <v>27</v>
      </c>
      <c r="N23" s="24" t="s">
        <v>28</v>
      </c>
      <c r="O23" s="24" t="s">
        <v>27</v>
      </c>
      <c r="P23" s="24" t="s">
        <v>28</v>
      </c>
    </row>
    <row r="24" spans="2:16">
      <c r="B24" s="28" t="s">
        <v>29</v>
      </c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</row>
    <row r="25" spans="2:16"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</row>
    <row r="26" spans="2:16"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</row>
    <row r="27" spans="2:16">
      <c r="B27" s="29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</row>
    <row r="28" spans="2:16">
      <c r="B28" s="29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</row>
    <row r="29" spans="2:16">
      <c r="B29" s="29" t="s">
        <v>30</v>
      </c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</row>
    <row r="30" spans="2:16">
      <c r="B30" s="29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</row>
    <row r="31" spans="2:16">
      <c r="B31" s="29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</row>
    <row r="32" spans="2:16">
      <c r="B32" s="29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</row>
    <row r="33" spans="2:16"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</row>
    <row r="34" spans="2:16">
      <c r="B34" s="28" t="s">
        <v>31</v>
      </c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</row>
    <row r="35" spans="2:16">
      <c r="B35" s="29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</row>
    <row r="36" spans="2:16">
      <c r="B36" s="29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</row>
    <row r="37" spans="2:16">
      <c r="B37" s="29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</row>
    <row r="38" spans="2:16">
      <c r="B38" s="29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</row>
    <row r="39" spans="2:16">
      <c r="B39" s="28" t="s">
        <v>32</v>
      </c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</row>
  </sheetData>
  <mergeCells count="17">
    <mergeCell ref="C1:N1"/>
    <mergeCell ref="C2:D2"/>
    <mergeCell ref="E2:F2"/>
    <mergeCell ref="G2:H2"/>
    <mergeCell ref="I2:J2"/>
    <mergeCell ref="K2:L2"/>
    <mergeCell ref="M2:N2"/>
    <mergeCell ref="C21:P21"/>
    <mergeCell ref="C22:D22"/>
    <mergeCell ref="E22:F22"/>
    <mergeCell ref="G22:H22"/>
    <mergeCell ref="I22:J22"/>
    <mergeCell ref="K22:L22"/>
    <mergeCell ref="M22:N22"/>
    <mergeCell ref="O22:P22"/>
    <mergeCell ref="B1:B3"/>
    <mergeCell ref="B21:B23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N29"/>
  <sheetViews>
    <sheetView workbookViewId="0">
      <selection activeCell="F32" sqref="F32"/>
    </sheetView>
  </sheetViews>
  <sheetFormatPr defaultColWidth="9" defaultRowHeight="13.5"/>
  <cols>
    <col min="2" max="2" width="33.75" customWidth="1"/>
    <col min="3" max="12" width="10.425" customWidth="1"/>
  </cols>
  <sheetData>
    <row r="1" spans="2:14">
      <c r="B1" s="23" t="s">
        <v>39</v>
      </c>
      <c r="C1" s="30" t="s">
        <v>40</v>
      </c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</row>
    <row r="2" spans="2:14">
      <c r="B2" s="23"/>
      <c r="C2" s="25" t="s">
        <v>21</v>
      </c>
      <c r="D2" s="26"/>
      <c r="E2" s="25" t="s">
        <v>22</v>
      </c>
      <c r="F2" s="26"/>
      <c r="G2" s="27" t="s">
        <v>23</v>
      </c>
      <c r="H2" s="26"/>
      <c r="I2" s="25" t="s">
        <v>24</v>
      </c>
      <c r="J2" s="26"/>
      <c r="K2" s="25" t="s">
        <v>25</v>
      </c>
      <c r="L2" s="26"/>
      <c r="M2" s="25" t="s">
        <v>26</v>
      </c>
      <c r="N2" s="26"/>
    </row>
    <row r="3" spans="2:14">
      <c r="B3" s="23"/>
      <c r="C3" s="24" t="s">
        <v>41</v>
      </c>
      <c r="D3" s="24" t="s">
        <v>42</v>
      </c>
      <c r="E3" s="24" t="s">
        <v>41</v>
      </c>
      <c r="F3" s="24" t="s">
        <v>42</v>
      </c>
      <c r="G3" s="24" t="s">
        <v>41</v>
      </c>
      <c r="H3" s="24" t="s">
        <v>42</v>
      </c>
      <c r="I3" s="24" t="s">
        <v>41</v>
      </c>
      <c r="J3" s="24" t="s">
        <v>42</v>
      </c>
      <c r="K3" s="24" t="s">
        <v>41</v>
      </c>
      <c r="L3" s="24" t="s">
        <v>42</v>
      </c>
      <c r="M3" s="24" t="s">
        <v>41</v>
      </c>
      <c r="N3" s="24" t="s">
        <v>42</v>
      </c>
    </row>
    <row r="4" spans="2:14">
      <c r="B4" s="32" t="s">
        <v>43</v>
      </c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</row>
    <row r="5" spans="2:14">
      <c r="B5" s="28" t="s">
        <v>44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</row>
    <row r="6" spans="2:14">
      <c r="B6" s="28" t="s">
        <v>45</v>
      </c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</row>
    <row r="7" spans="2:14">
      <c r="B7" s="28" t="s">
        <v>46</v>
      </c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</row>
    <row r="8" spans="2:14">
      <c r="B8" s="29" t="s">
        <v>47</v>
      </c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</row>
    <row r="9" spans="2:14">
      <c r="B9" s="29" t="s">
        <v>48</v>
      </c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</row>
    <row r="10" spans="2:14">
      <c r="B10" s="29" t="s">
        <v>49</v>
      </c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</row>
    <row r="11" spans="2:14">
      <c r="B11" s="29" t="s">
        <v>50</v>
      </c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2:14">
      <c r="B12" s="29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</row>
    <row r="13" spans="2:14">
      <c r="B13" s="29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</row>
    <row r="14" spans="2:14">
      <c r="B14" s="28" t="s">
        <v>32</v>
      </c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</row>
    <row r="16" spans="2:14">
      <c r="B16" s="23" t="s">
        <v>39</v>
      </c>
      <c r="C16" s="30" t="s">
        <v>40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</row>
    <row r="17" spans="2:14">
      <c r="B17" s="23"/>
      <c r="C17" s="25" t="s">
        <v>33</v>
      </c>
      <c r="D17" s="26"/>
      <c r="E17" s="25" t="s">
        <v>34</v>
      </c>
      <c r="F17" s="26"/>
      <c r="G17" s="25" t="s">
        <v>35</v>
      </c>
      <c r="H17" s="26"/>
      <c r="I17" s="25" t="s">
        <v>36</v>
      </c>
      <c r="J17" s="26"/>
      <c r="K17" s="25" t="s">
        <v>37</v>
      </c>
      <c r="L17" s="26"/>
      <c r="M17" s="25" t="s">
        <v>38</v>
      </c>
      <c r="N17" s="26"/>
    </row>
    <row r="18" spans="2:14">
      <c r="B18" s="23"/>
      <c r="C18" s="24" t="s">
        <v>41</v>
      </c>
      <c r="D18" s="24" t="s">
        <v>42</v>
      </c>
      <c r="E18" s="24" t="s">
        <v>41</v>
      </c>
      <c r="F18" s="24" t="s">
        <v>42</v>
      </c>
      <c r="G18" s="24" t="s">
        <v>41</v>
      </c>
      <c r="H18" s="24" t="s">
        <v>42</v>
      </c>
      <c r="I18" s="24" t="s">
        <v>41</v>
      </c>
      <c r="J18" s="24" t="s">
        <v>42</v>
      </c>
      <c r="K18" s="24" t="s">
        <v>41</v>
      </c>
      <c r="L18" s="24" t="s">
        <v>42</v>
      </c>
      <c r="M18" s="24" t="s">
        <v>41</v>
      </c>
      <c r="N18" s="24" t="s">
        <v>42</v>
      </c>
    </row>
    <row r="19" spans="2:14">
      <c r="B19" s="32" t="s">
        <v>43</v>
      </c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</row>
    <row r="20" spans="2:14">
      <c r="B20" s="28" t="s">
        <v>44</v>
      </c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</row>
    <row r="21" spans="2:14">
      <c r="B21" s="28" t="s">
        <v>45</v>
      </c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</row>
    <row r="22" spans="2:14">
      <c r="B22" s="28" t="s">
        <v>46</v>
      </c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</row>
    <row r="23" spans="2:14">
      <c r="B23" s="29" t="s">
        <v>47</v>
      </c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</row>
    <row r="24" spans="2:14">
      <c r="B24" s="29" t="s">
        <v>48</v>
      </c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</row>
    <row r="25" spans="2:14">
      <c r="B25" s="29" t="s">
        <v>49</v>
      </c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</row>
    <row r="26" spans="2:14">
      <c r="B26" s="29" t="s">
        <v>50</v>
      </c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</row>
    <row r="27" spans="2:14">
      <c r="B27" s="29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</row>
    <row r="28" spans="2:14">
      <c r="B28" s="29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</row>
    <row r="29" spans="2:14">
      <c r="B29" s="28" t="s">
        <v>32</v>
      </c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</row>
  </sheetData>
  <mergeCells count="16">
    <mergeCell ref="C1:N1"/>
    <mergeCell ref="C2:D2"/>
    <mergeCell ref="E2:F2"/>
    <mergeCell ref="G2:H2"/>
    <mergeCell ref="I2:J2"/>
    <mergeCell ref="K2:L2"/>
    <mergeCell ref="M2:N2"/>
    <mergeCell ref="C16:N16"/>
    <mergeCell ref="C17:D17"/>
    <mergeCell ref="E17:F17"/>
    <mergeCell ref="G17:H17"/>
    <mergeCell ref="I17:J17"/>
    <mergeCell ref="K17:L17"/>
    <mergeCell ref="M17:N17"/>
    <mergeCell ref="B1:B3"/>
    <mergeCell ref="B16:B18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P39"/>
  <sheetViews>
    <sheetView workbookViewId="0">
      <selection activeCell="C2" sqref="C2:D2"/>
    </sheetView>
  </sheetViews>
  <sheetFormatPr defaultColWidth="9" defaultRowHeight="13.5"/>
  <cols>
    <col min="2" max="2" width="25.425" customWidth="1"/>
    <col min="3" max="12" width="8.425" customWidth="1"/>
  </cols>
  <sheetData>
    <row r="1" spans="2:14">
      <c r="B1" s="23" t="s">
        <v>0</v>
      </c>
      <c r="C1" s="30" t="s">
        <v>20</v>
      </c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</row>
    <row r="2" spans="2:14">
      <c r="B2" s="23"/>
      <c r="C2" s="25" t="s">
        <v>21</v>
      </c>
      <c r="D2" s="26"/>
      <c r="E2" s="25" t="s">
        <v>22</v>
      </c>
      <c r="F2" s="26"/>
      <c r="G2" s="25" t="s">
        <v>23</v>
      </c>
      <c r="H2" s="26"/>
      <c r="I2" s="25" t="s">
        <v>24</v>
      </c>
      <c r="J2" s="26"/>
      <c r="K2" s="25" t="s">
        <v>25</v>
      </c>
      <c r="L2" s="26"/>
      <c r="M2" s="25" t="s">
        <v>26</v>
      </c>
      <c r="N2" s="26"/>
    </row>
    <row r="3" spans="2:14">
      <c r="B3" s="23"/>
      <c r="C3" s="24" t="s">
        <v>27</v>
      </c>
      <c r="D3" s="24" t="s">
        <v>28</v>
      </c>
      <c r="E3" s="24" t="s">
        <v>27</v>
      </c>
      <c r="F3" s="24" t="s">
        <v>28</v>
      </c>
      <c r="G3" s="24" t="s">
        <v>27</v>
      </c>
      <c r="H3" s="24" t="s">
        <v>28</v>
      </c>
      <c r="I3" s="24" t="s">
        <v>27</v>
      </c>
      <c r="J3" s="24" t="s">
        <v>28</v>
      </c>
      <c r="K3" s="24" t="s">
        <v>27</v>
      </c>
      <c r="L3" s="24" t="s">
        <v>28</v>
      </c>
      <c r="M3" s="24" t="s">
        <v>27</v>
      </c>
      <c r="N3" s="24" t="s">
        <v>28</v>
      </c>
    </row>
    <row r="4" spans="2:14"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</row>
    <row r="5" spans="2:14"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</row>
    <row r="6" spans="2:14"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</row>
    <row r="7" spans="2:14">
      <c r="B7" s="29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</row>
    <row r="8" spans="2:14">
      <c r="B8" s="29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</row>
    <row r="9" spans="2:14">
      <c r="B9" s="29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</row>
    <row r="10" spans="2:14">
      <c r="B10" s="29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</row>
    <row r="11" spans="2:14">
      <c r="B11" s="29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2:14">
      <c r="B12" s="29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</row>
    <row r="13" spans="2:14"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</row>
    <row r="14" spans="2:14"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</row>
    <row r="15" spans="2:14">
      <c r="B15" s="29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</row>
    <row r="16" spans="2:14">
      <c r="B16" s="29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</row>
    <row r="17" spans="2:14">
      <c r="B17" s="29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</row>
    <row r="18" spans="2:14">
      <c r="B18" s="29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</row>
    <row r="19" spans="2:14">
      <c r="B19" s="28" t="s">
        <v>32</v>
      </c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</row>
    <row r="21" spans="2:16">
      <c r="B21" s="23" t="s">
        <v>0</v>
      </c>
      <c r="C21" s="24" t="s">
        <v>20</v>
      </c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</row>
    <row r="22" spans="2:16">
      <c r="B22" s="23"/>
      <c r="C22" s="24" t="s">
        <v>33</v>
      </c>
      <c r="D22" s="24"/>
      <c r="E22" s="24" t="s">
        <v>34</v>
      </c>
      <c r="F22" s="24"/>
      <c r="G22" s="24" t="s">
        <v>35</v>
      </c>
      <c r="H22" s="24"/>
      <c r="I22" s="24" t="s">
        <v>36</v>
      </c>
      <c r="J22" s="24"/>
      <c r="K22" s="24" t="s">
        <v>37</v>
      </c>
      <c r="L22" s="24"/>
      <c r="M22" s="24" t="s">
        <v>38</v>
      </c>
      <c r="N22" s="24"/>
      <c r="O22" s="24" t="s">
        <v>32</v>
      </c>
      <c r="P22" s="24"/>
    </row>
    <row r="23" spans="2:16">
      <c r="B23" s="23"/>
      <c r="C23" s="24" t="s">
        <v>27</v>
      </c>
      <c r="D23" s="24" t="s">
        <v>28</v>
      </c>
      <c r="E23" s="24" t="s">
        <v>27</v>
      </c>
      <c r="F23" s="24" t="s">
        <v>28</v>
      </c>
      <c r="G23" s="24" t="s">
        <v>27</v>
      </c>
      <c r="H23" s="24" t="s">
        <v>28</v>
      </c>
      <c r="I23" s="24" t="s">
        <v>27</v>
      </c>
      <c r="J23" s="24" t="s">
        <v>28</v>
      </c>
      <c r="K23" s="24" t="s">
        <v>27</v>
      </c>
      <c r="L23" s="24" t="s">
        <v>28</v>
      </c>
      <c r="M23" s="24" t="s">
        <v>27</v>
      </c>
      <c r="N23" s="24" t="s">
        <v>28</v>
      </c>
      <c r="O23" s="24" t="s">
        <v>27</v>
      </c>
      <c r="P23" s="24" t="s">
        <v>28</v>
      </c>
    </row>
    <row r="24" spans="2:16"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</row>
    <row r="25" spans="2:16"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</row>
    <row r="26" spans="2:16"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</row>
    <row r="27" spans="2:16">
      <c r="B27" s="29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</row>
    <row r="28" spans="2:16">
      <c r="B28" s="29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</row>
    <row r="29" spans="2:16">
      <c r="B29" s="29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</row>
    <row r="30" spans="2:16">
      <c r="B30" s="29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</row>
    <row r="31" spans="2:16">
      <c r="B31" s="29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</row>
    <row r="32" spans="2:16">
      <c r="B32" s="29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</row>
    <row r="33" spans="2:16"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</row>
    <row r="34" spans="2:16"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</row>
    <row r="35" spans="2:16">
      <c r="B35" s="29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</row>
    <row r="36" spans="2:16">
      <c r="B36" s="29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</row>
    <row r="37" spans="2:16">
      <c r="B37" s="29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</row>
    <row r="38" spans="2:16">
      <c r="B38" s="29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</row>
    <row r="39" spans="2:16">
      <c r="B39" s="28" t="s">
        <v>32</v>
      </c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</row>
  </sheetData>
  <mergeCells count="17">
    <mergeCell ref="C1:N1"/>
    <mergeCell ref="C2:D2"/>
    <mergeCell ref="E2:F2"/>
    <mergeCell ref="G2:H2"/>
    <mergeCell ref="I2:J2"/>
    <mergeCell ref="K2:L2"/>
    <mergeCell ref="M2:N2"/>
    <mergeCell ref="C21:P21"/>
    <mergeCell ref="C22:D22"/>
    <mergeCell ref="E22:F22"/>
    <mergeCell ref="G22:H22"/>
    <mergeCell ref="I22:J22"/>
    <mergeCell ref="K22:L22"/>
    <mergeCell ref="M22:N22"/>
    <mergeCell ref="O22:P22"/>
    <mergeCell ref="B1:B3"/>
    <mergeCell ref="B21:B23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L19"/>
  <sheetViews>
    <sheetView tabSelected="1" workbookViewId="0">
      <selection activeCell="I13" sqref="I13"/>
    </sheetView>
  </sheetViews>
  <sheetFormatPr defaultColWidth="9" defaultRowHeight="13.5"/>
  <cols>
    <col min="2" max="2" width="29.375" customWidth="1"/>
    <col min="3" max="12" width="8.425" customWidth="1"/>
  </cols>
  <sheetData>
    <row r="1" spans="2:12">
      <c r="B1" s="23" t="s">
        <v>1</v>
      </c>
      <c r="C1" s="24" t="s">
        <v>51</v>
      </c>
      <c r="D1" s="24"/>
      <c r="E1" s="24"/>
      <c r="F1" s="24"/>
      <c r="G1" s="24"/>
      <c r="H1" s="24"/>
      <c r="I1" s="24"/>
      <c r="J1" s="24"/>
      <c r="K1" s="24"/>
      <c r="L1" s="24"/>
    </row>
    <row r="2" spans="2:12">
      <c r="B2" s="23"/>
      <c r="C2" s="25" t="s">
        <v>52</v>
      </c>
      <c r="D2" s="26"/>
      <c r="E2" s="25" t="s">
        <v>53</v>
      </c>
      <c r="F2" s="26"/>
      <c r="G2" s="27" t="s">
        <v>54</v>
      </c>
      <c r="H2" s="26"/>
      <c r="I2" s="25" t="s">
        <v>55</v>
      </c>
      <c r="J2" s="26"/>
      <c r="K2" s="25" t="s">
        <v>18</v>
      </c>
      <c r="L2" s="26"/>
    </row>
    <row r="3" spans="2:12">
      <c r="B3" s="23"/>
      <c r="C3" s="24" t="s">
        <v>56</v>
      </c>
      <c r="D3" s="24" t="s">
        <v>57</v>
      </c>
      <c r="E3" s="24" t="s">
        <v>56</v>
      </c>
      <c r="F3" s="24" t="s">
        <v>57</v>
      </c>
      <c r="G3" s="24" t="s">
        <v>56</v>
      </c>
      <c r="H3" s="24" t="s">
        <v>57</v>
      </c>
      <c r="I3" s="24" t="s">
        <v>56</v>
      </c>
      <c r="J3" s="24" t="s">
        <v>57</v>
      </c>
      <c r="K3" s="24" t="s">
        <v>56</v>
      </c>
      <c r="L3" s="24" t="s">
        <v>57</v>
      </c>
    </row>
    <row r="4" spans="2:12">
      <c r="B4" s="28" t="s">
        <v>2</v>
      </c>
      <c r="C4" s="28"/>
      <c r="D4" s="28"/>
      <c r="E4" s="28"/>
      <c r="F4" s="28"/>
      <c r="G4" s="28"/>
      <c r="H4" s="28"/>
      <c r="I4" s="28"/>
      <c r="J4" s="28"/>
      <c r="K4" s="28"/>
      <c r="L4" s="28"/>
    </row>
    <row r="5" spans="2:12">
      <c r="B5" s="28" t="s">
        <v>3</v>
      </c>
      <c r="C5" s="28"/>
      <c r="D5" s="28"/>
      <c r="E5" s="28"/>
      <c r="F5" s="28"/>
      <c r="G5" s="28"/>
      <c r="H5" s="28"/>
      <c r="I5" s="28"/>
      <c r="J5" s="28"/>
      <c r="K5" s="28"/>
      <c r="L5" s="28"/>
    </row>
    <row r="6" spans="2:12">
      <c r="B6" s="28" t="s">
        <v>58</v>
      </c>
      <c r="C6" s="28"/>
      <c r="D6" s="28"/>
      <c r="E6" s="28"/>
      <c r="F6" s="28"/>
      <c r="G6" s="28"/>
      <c r="H6" s="28"/>
      <c r="I6" s="28"/>
      <c r="J6" s="28"/>
      <c r="K6" s="28"/>
      <c r="L6" s="28"/>
    </row>
    <row r="7" spans="2:12">
      <c r="B7" s="29">
        <v>1</v>
      </c>
      <c r="C7" s="28"/>
      <c r="D7" s="28"/>
      <c r="E7" s="28"/>
      <c r="F7" s="28"/>
      <c r="G7" s="28"/>
      <c r="H7" s="28"/>
      <c r="I7" s="28"/>
      <c r="J7" s="28"/>
      <c r="K7" s="28"/>
      <c r="L7" s="28"/>
    </row>
    <row r="8" spans="2:12">
      <c r="B8" s="29">
        <v>2</v>
      </c>
      <c r="C8" s="28"/>
      <c r="D8" s="28"/>
      <c r="E8" s="28"/>
      <c r="F8" s="28"/>
      <c r="G8" s="28"/>
      <c r="H8" s="28"/>
      <c r="I8" s="28"/>
      <c r="J8" s="28"/>
      <c r="K8" s="28"/>
      <c r="L8" s="28"/>
    </row>
    <row r="9" spans="2:12">
      <c r="B9" s="29">
        <v>3</v>
      </c>
      <c r="C9" s="28"/>
      <c r="D9" s="28"/>
      <c r="E9" s="28"/>
      <c r="F9" s="28"/>
      <c r="G9" s="28"/>
      <c r="H9" s="28"/>
      <c r="I9" s="28"/>
      <c r="J9" s="28"/>
      <c r="K9" s="28"/>
      <c r="L9" s="28"/>
    </row>
    <row r="10" spans="2:12">
      <c r="B10" s="29">
        <v>4</v>
      </c>
      <c r="C10" s="28"/>
      <c r="D10" s="28"/>
      <c r="E10" s="28"/>
      <c r="F10" s="28"/>
      <c r="G10" s="28"/>
      <c r="H10" s="28"/>
      <c r="I10" s="28"/>
      <c r="J10" s="28"/>
      <c r="K10" s="28"/>
      <c r="L10" s="28"/>
    </row>
    <row r="11" spans="2:12">
      <c r="B11" s="29">
        <v>5</v>
      </c>
      <c r="C11" s="28"/>
      <c r="D11" s="28"/>
      <c r="E11" s="28"/>
      <c r="F11" s="28"/>
      <c r="G11" s="28"/>
      <c r="H11" s="28"/>
      <c r="I11" s="28"/>
      <c r="J11" s="28"/>
      <c r="K11" s="28"/>
      <c r="L11" s="28"/>
    </row>
    <row r="12" spans="2:12">
      <c r="B12" s="29">
        <v>6</v>
      </c>
      <c r="C12" s="28"/>
      <c r="D12" s="28"/>
      <c r="E12" s="28"/>
      <c r="F12" s="28"/>
      <c r="G12" s="28"/>
      <c r="H12" s="28"/>
      <c r="I12" s="28"/>
      <c r="J12" s="28"/>
      <c r="K12" s="28"/>
      <c r="L12" s="28"/>
    </row>
    <row r="13" spans="2:12">
      <c r="B13" s="28" t="s">
        <v>59</v>
      </c>
      <c r="C13" s="28"/>
      <c r="D13" s="28"/>
      <c r="E13" s="28"/>
      <c r="F13" s="28"/>
      <c r="G13" s="28"/>
      <c r="H13" s="28"/>
      <c r="I13" s="28"/>
      <c r="J13" s="28"/>
      <c r="K13" s="28"/>
      <c r="L13" s="28"/>
    </row>
    <row r="14" spans="2:12">
      <c r="B14" s="28" t="s">
        <v>60</v>
      </c>
      <c r="C14" s="28"/>
      <c r="D14" s="28"/>
      <c r="E14" s="28"/>
      <c r="F14" s="28"/>
      <c r="G14" s="28"/>
      <c r="H14" s="28"/>
      <c r="I14" s="28"/>
      <c r="J14" s="28"/>
      <c r="K14" s="28"/>
      <c r="L14" s="28"/>
    </row>
    <row r="15" spans="2:12">
      <c r="B15" s="29">
        <v>1</v>
      </c>
      <c r="C15" s="28"/>
      <c r="D15" s="28"/>
      <c r="E15" s="28"/>
      <c r="F15" s="28"/>
      <c r="G15" s="28"/>
      <c r="H15" s="28"/>
      <c r="I15" s="28"/>
      <c r="J15" s="28"/>
      <c r="K15" s="28"/>
      <c r="L15" s="28"/>
    </row>
    <row r="16" spans="2:12">
      <c r="B16" s="29">
        <v>2</v>
      </c>
      <c r="C16" s="28"/>
      <c r="D16" s="28"/>
      <c r="E16" s="28"/>
      <c r="F16" s="28"/>
      <c r="G16" s="28"/>
      <c r="H16" s="28"/>
      <c r="I16" s="28"/>
      <c r="J16" s="28"/>
      <c r="K16" s="28"/>
      <c r="L16" s="28"/>
    </row>
    <row r="17" spans="2:12">
      <c r="B17" s="29">
        <v>3</v>
      </c>
      <c r="C17" s="28"/>
      <c r="D17" s="28"/>
      <c r="E17" s="28"/>
      <c r="F17" s="28"/>
      <c r="G17" s="28"/>
      <c r="H17" s="28"/>
      <c r="I17" s="28"/>
      <c r="J17" s="28"/>
      <c r="K17" s="28"/>
      <c r="L17" s="28"/>
    </row>
    <row r="18" spans="2:12">
      <c r="B18" s="29">
        <v>4</v>
      </c>
      <c r="C18" s="28"/>
      <c r="D18" s="28"/>
      <c r="E18" s="28"/>
      <c r="F18" s="28"/>
      <c r="G18" s="28"/>
      <c r="H18" s="28"/>
      <c r="I18" s="28"/>
      <c r="J18" s="28"/>
      <c r="K18" s="28"/>
      <c r="L18" s="28"/>
    </row>
    <row r="19" spans="2:12"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</row>
  </sheetData>
  <mergeCells count="7">
    <mergeCell ref="C1:L1"/>
    <mergeCell ref="C2:D2"/>
    <mergeCell ref="E2:F2"/>
    <mergeCell ref="G2:H2"/>
    <mergeCell ref="I2:J2"/>
    <mergeCell ref="K2:L2"/>
    <mergeCell ref="B1:B3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L42"/>
  <sheetViews>
    <sheetView workbookViewId="0">
      <pane xSplit="2" ySplit="4" topLeftCell="C5" activePane="bottomRight" state="frozen"/>
      <selection/>
      <selection pane="topRight"/>
      <selection pane="bottomLeft"/>
      <selection pane="bottomRight" activeCell="E21" sqref="E21"/>
    </sheetView>
  </sheetViews>
  <sheetFormatPr defaultColWidth="9" defaultRowHeight="14.25"/>
  <cols>
    <col min="1" max="1" width="4.85833333333333" style="2" customWidth="1"/>
    <col min="2" max="2" width="31" style="2" customWidth="1"/>
    <col min="3" max="3" width="20.25" style="2" customWidth="1"/>
    <col min="4" max="4" width="17.2833333333333" style="2" customWidth="1"/>
    <col min="5" max="5" width="20.25" style="2" customWidth="1"/>
    <col min="6" max="6" width="12.125" style="2" customWidth="1"/>
    <col min="7" max="7" width="20.25" style="2" customWidth="1"/>
    <col min="8" max="8" width="10.375" style="2" customWidth="1"/>
    <col min="9" max="9" width="20.25" style="2" customWidth="1"/>
    <col min="10" max="10" width="9.375" style="2" customWidth="1"/>
    <col min="11" max="11" width="20.25" style="2" customWidth="1"/>
    <col min="12" max="12" width="10.375" style="2" customWidth="1"/>
    <col min="13" max="13" width="3.85833333333333" style="2" customWidth="1"/>
    <col min="14" max="16384" width="9" style="2"/>
  </cols>
  <sheetData>
    <row r="2" ht="15.75" customHeight="1" spans="2:12">
      <c r="B2" s="3" t="s">
        <v>61</v>
      </c>
      <c r="C2" s="4" t="s">
        <v>62</v>
      </c>
      <c r="D2" s="5"/>
      <c r="E2" s="5"/>
      <c r="F2" s="5"/>
      <c r="G2" s="5"/>
      <c r="H2" s="5"/>
      <c r="I2" s="5"/>
      <c r="J2" s="5"/>
      <c r="K2" s="5"/>
      <c r="L2" s="5"/>
    </row>
    <row r="3" ht="15" spans="2:12">
      <c r="B3" s="6"/>
      <c r="C3" s="7" t="s">
        <v>63</v>
      </c>
      <c r="D3" s="8"/>
      <c r="E3" s="7" t="s">
        <v>64</v>
      </c>
      <c r="F3" s="8"/>
      <c r="G3" s="7" t="s">
        <v>65</v>
      </c>
      <c r="H3" s="8"/>
      <c r="I3" s="7" t="s">
        <v>66</v>
      </c>
      <c r="J3" s="8"/>
      <c r="K3" s="7" t="s">
        <v>67</v>
      </c>
      <c r="L3" s="8"/>
    </row>
    <row r="4" ht="15.75" spans="2:12">
      <c r="B4" s="9" t="s">
        <v>68</v>
      </c>
      <c r="C4" s="9" t="s">
        <v>69</v>
      </c>
      <c r="D4" s="10">
        <v>4700000</v>
      </c>
      <c r="E4" s="9" t="s">
        <v>69</v>
      </c>
      <c r="F4" s="10">
        <v>2600000</v>
      </c>
      <c r="G4" s="9" t="s">
        <v>69</v>
      </c>
      <c r="H4" s="10">
        <v>140000</v>
      </c>
      <c r="I4" s="9" t="s">
        <v>69</v>
      </c>
      <c r="J4" s="10">
        <v>61000</v>
      </c>
      <c r="K4" s="9" t="s">
        <v>69</v>
      </c>
      <c r="L4" s="10">
        <v>146000</v>
      </c>
    </row>
    <row r="5" s="1" customFormat="1" ht="31.5" spans="1:12">
      <c r="A5" s="2"/>
      <c r="B5" s="11" t="s">
        <v>70</v>
      </c>
      <c r="C5" s="12">
        <v>0.02</v>
      </c>
      <c r="D5" s="10">
        <f>4700000*C5</f>
        <v>94000</v>
      </c>
      <c r="E5" s="13">
        <v>0.02</v>
      </c>
      <c r="F5" s="10">
        <f>1600000*E5</f>
        <v>32000</v>
      </c>
      <c r="G5" s="13">
        <v>0.01</v>
      </c>
      <c r="H5" s="10">
        <f>140000*G5</f>
        <v>1400</v>
      </c>
      <c r="I5" s="13"/>
      <c r="J5" s="10"/>
      <c r="K5" s="13"/>
      <c r="L5" s="10"/>
    </row>
    <row r="6" s="1" customFormat="1" ht="15.75" spans="1:12">
      <c r="A6" s="2"/>
      <c r="B6" s="14" t="s">
        <v>71</v>
      </c>
      <c r="C6" s="15"/>
      <c r="D6" s="16"/>
      <c r="E6" s="17"/>
      <c r="F6" s="18"/>
      <c r="G6" s="17"/>
      <c r="H6" s="18"/>
      <c r="I6" s="17"/>
      <c r="J6" s="18"/>
      <c r="K6" s="17"/>
      <c r="L6" s="18"/>
    </row>
    <row r="7" s="1" customFormat="1" ht="15" spans="1:12">
      <c r="A7" s="2"/>
      <c r="B7" s="19" t="s">
        <v>72</v>
      </c>
      <c r="C7" s="15"/>
      <c r="D7" s="16">
        <f>SUM(D12*20%)</f>
        <v>6400</v>
      </c>
      <c r="E7" s="17"/>
      <c r="F7" s="18"/>
      <c r="G7" s="17"/>
      <c r="H7" s="18"/>
      <c r="I7" s="17"/>
      <c r="J7" s="18"/>
      <c r="K7" s="17"/>
      <c r="L7" s="18"/>
    </row>
    <row r="8" s="1" customFormat="1" ht="15" spans="1:12">
      <c r="A8" s="2"/>
      <c r="B8" s="19" t="s">
        <v>73</v>
      </c>
      <c r="C8" s="15"/>
      <c r="D8" s="16">
        <f>SUM(D12*20%)</f>
        <v>6400</v>
      </c>
      <c r="E8" s="17"/>
      <c r="F8" s="18"/>
      <c r="G8" s="17"/>
      <c r="H8" s="18"/>
      <c r="I8" s="17"/>
      <c r="J8" s="18"/>
      <c r="K8" s="17"/>
      <c r="L8" s="18"/>
    </row>
    <row r="9" s="1" customFormat="1" ht="15" spans="1:12">
      <c r="A9" s="2"/>
      <c r="B9" s="19" t="s">
        <v>74</v>
      </c>
      <c r="C9" s="15"/>
      <c r="D9" s="16">
        <f>SUM(D12*20%)</f>
        <v>6400</v>
      </c>
      <c r="E9" s="17"/>
      <c r="F9" s="18"/>
      <c r="G9" s="17"/>
      <c r="H9" s="18"/>
      <c r="I9" s="17"/>
      <c r="J9" s="18"/>
      <c r="K9" s="17"/>
      <c r="L9" s="18"/>
    </row>
    <row r="10" s="1" customFormat="1" ht="15" spans="1:12">
      <c r="A10" s="2"/>
      <c r="B10" s="19" t="s">
        <v>75</v>
      </c>
      <c r="C10" s="15"/>
      <c r="D10" s="16">
        <f>SUM(D12*20%)</f>
        <v>6400</v>
      </c>
      <c r="E10" s="17"/>
      <c r="F10" s="18"/>
      <c r="G10" s="17"/>
      <c r="H10" s="18"/>
      <c r="I10" s="17"/>
      <c r="J10" s="18"/>
      <c r="K10" s="17"/>
      <c r="L10" s="18"/>
    </row>
    <row r="11" s="1" customFormat="1" ht="15" spans="1:12">
      <c r="A11" s="2"/>
      <c r="B11" s="19" t="s">
        <v>76</v>
      </c>
      <c r="C11" s="15"/>
      <c r="D11" s="16">
        <f>SUM(D12*20%)</f>
        <v>6400</v>
      </c>
      <c r="E11" s="17"/>
      <c r="F11" s="18"/>
      <c r="G11" s="17"/>
      <c r="H11" s="18"/>
      <c r="I11" s="17"/>
      <c r="J11" s="18"/>
      <c r="K11" s="17"/>
      <c r="L11" s="18"/>
    </row>
    <row r="12" s="1" customFormat="1" ht="15.75" spans="1:12">
      <c r="A12" s="2"/>
      <c r="B12" s="14" t="s">
        <v>68</v>
      </c>
      <c r="C12" s="15"/>
      <c r="D12" s="20">
        <v>32000</v>
      </c>
      <c r="E12" s="17"/>
      <c r="F12" s="18"/>
      <c r="G12" s="17"/>
      <c r="H12" s="18"/>
      <c r="I12" s="17"/>
      <c r="J12" s="18"/>
      <c r="K12" s="17"/>
      <c r="L12" s="18"/>
    </row>
    <row r="13" s="1" customFormat="1" ht="15.75" spans="1:12">
      <c r="A13" s="2"/>
      <c r="B13" s="14" t="s">
        <v>77</v>
      </c>
      <c r="C13" s="15"/>
      <c r="D13" s="16"/>
      <c r="E13" s="17"/>
      <c r="F13" s="18"/>
      <c r="G13" s="17"/>
      <c r="H13" s="18"/>
      <c r="I13" s="17"/>
      <c r="J13" s="18"/>
      <c r="K13" s="17"/>
      <c r="L13" s="18"/>
    </row>
    <row r="14" s="1" customFormat="1" ht="15" spans="1:12">
      <c r="A14" s="2"/>
      <c r="B14" s="19" t="s">
        <v>72</v>
      </c>
      <c r="C14" s="15"/>
      <c r="D14" s="16">
        <f>SUM(D19*20%)</f>
        <v>9000</v>
      </c>
      <c r="E14" s="17"/>
      <c r="F14" s="18"/>
      <c r="G14" s="17"/>
      <c r="H14" s="18"/>
      <c r="I14" s="17"/>
      <c r="J14" s="18"/>
      <c r="K14" s="17"/>
      <c r="L14" s="18"/>
    </row>
    <row r="15" s="1" customFormat="1" ht="15" spans="1:12">
      <c r="A15" s="2"/>
      <c r="B15" s="19" t="s">
        <v>73</v>
      </c>
      <c r="C15" s="15"/>
      <c r="D15" s="16">
        <f>SUM(D19*20%)</f>
        <v>9000</v>
      </c>
      <c r="E15" s="17"/>
      <c r="F15" s="18"/>
      <c r="G15" s="17"/>
      <c r="H15" s="18"/>
      <c r="I15" s="17"/>
      <c r="J15" s="18"/>
      <c r="K15" s="17"/>
      <c r="L15" s="18"/>
    </row>
    <row r="16" s="1" customFormat="1" ht="15" spans="1:12">
      <c r="A16" s="2"/>
      <c r="B16" s="19" t="s">
        <v>74</v>
      </c>
      <c r="C16" s="15"/>
      <c r="D16" s="16">
        <f>SUM(D19*20%)</f>
        <v>9000</v>
      </c>
      <c r="E16" s="17"/>
      <c r="F16" s="18"/>
      <c r="G16" s="17"/>
      <c r="H16" s="18"/>
      <c r="I16" s="17"/>
      <c r="J16" s="18"/>
      <c r="K16" s="17"/>
      <c r="L16" s="18"/>
    </row>
    <row r="17" s="1" customFormat="1" ht="15" spans="1:12">
      <c r="A17" s="2"/>
      <c r="B17" s="19" t="s">
        <v>75</v>
      </c>
      <c r="C17" s="15"/>
      <c r="D17" s="16">
        <f>SUM(D19*20%)</f>
        <v>9000</v>
      </c>
      <c r="E17" s="17"/>
      <c r="F17" s="18"/>
      <c r="G17" s="17"/>
      <c r="H17" s="18"/>
      <c r="I17" s="17"/>
      <c r="J17" s="18"/>
      <c r="K17" s="17"/>
      <c r="L17" s="18"/>
    </row>
    <row r="18" s="1" customFormat="1" ht="15" spans="1:12">
      <c r="A18" s="2"/>
      <c r="B18" s="19" t="s">
        <v>76</v>
      </c>
      <c r="C18" s="15"/>
      <c r="D18" s="16">
        <f>SUM(D19*20%)</f>
        <v>9000</v>
      </c>
      <c r="E18" s="17"/>
      <c r="F18" s="18"/>
      <c r="G18" s="17"/>
      <c r="H18" s="18"/>
      <c r="I18" s="17"/>
      <c r="J18" s="18"/>
      <c r="K18" s="17"/>
      <c r="L18" s="18"/>
    </row>
    <row r="19" s="1" customFormat="1" ht="15.75" spans="1:12">
      <c r="A19" s="2"/>
      <c r="B19" s="14" t="s">
        <v>68</v>
      </c>
      <c r="C19" s="15"/>
      <c r="D19" s="20">
        <v>45000</v>
      </c>
      <c r="E19" s="17"/>
      <c r="F19" s="18"/>
      <c r="G19" s="17"/>
      <c r="H19" s="18"/>
      <c r="I19" s="17"/>
      <c r="J19" s="18"/>
      <c r="K19" s="17"/>
      <c r="L19" s="18"/>
    </row>
    <row r="20" s="1" customFormat="1" ht="15.75" spans="1:12">
      <c r="A20" s="2"/>
      <c r="B20" s="14" t="s">
        <v>78</v>
      </c>
      <c r="C20" s="15"/>
      <c r="D20" s="16"/>
      <c r="E20" s="17"/>
      <c r="F20" s="18"/>
      <c r="G20" s="17"/>
      <c r="H20" s="18"/>
      <c r="I20" s="17"/>
      <c r="J20" s="18"/>
      <c r="K20" s="17"/>
      <c r="L20" s="18"/>
    </row>
    <row r="21" s="1" customFormat="1" ht="15" spans="1:12">
      <c r="A21" s="2"/>
      <c r="B21" s="19" t="s">
        <v>72</v>
      </c>
      <c r="C21" s="15"/>
      <c r="D21" s="16">
        <f>SUM(D26*20%)</f>
        <v>3400</v>
      </c>
      <c r="E21" s="17"/>
      <c r="F21" s="18"/>
      <c r="G21" s="17"/>
      <c r="H21" s="18"/>
      <c r="I21" s="17"/>
      <c r="J21" s="18"/>
      <c r="K21" s="17"/>
      <c r="L21" s="18"/>
    </row>
    <row r="22" s="1" customFormat="1" ht="15" spans="1:12">
      <c r="A22" s="2"/>
      <c r="B22" s="19" t="s">
        <v>73</v>
      </c>
      <c r="C22" s="15"/>
      <c r="D22" s="16">
        <f>SUM(D26*20%)</f>
        <v>3400</v>
      </c>
      <c r="E22" s="17"/>
      <c r="F22" s="18"/>
      <c r="G22" s="17"/>
      <c r="H22" s="18"/>
      <c r="I22" s="17"/>
      <c r="J22" s="18"/>
      <c r="K22" s="17"/>
      <c r="L22" s="18"/>
    </row>
    <row r="23" s="1" customFormat="1" ht="15" spans="1:12">
      <c r="A23" s="2"/>
      <c r="B23" s="19" t="s">
        <v>74</v>
      </c>
      <c r="C23" s="15"/>
      <c r="D23" s="16">
        <f>SUM(D26*20%)</f>
        <v>3400</v>
      </c>
      <c r="E23" s="17"/>
      <c r="F23" s="18"/>
      <c r="G23" s="17"/>
      <c r="H23" s="18"/>
      <c r="I23" s="17"/>
      <c r="J23" s="18"/>
      <c r="K23" s="17"/>
      <c r="L23" s="18"/>
    </row>
    <row r="24" s="1" customFormat="1" ht="15" spans="1:12">
      <c r="A24" s="2"/>
      <c r="B24" s="19" t="s">
        <v>75</v>
      </c>
      <c r="C24" s="15"/>
      <c r="D24" s="16">
        <f>SUM(D26*20%)</f>
        <v>3400</v>
      </c>
      <c r="E24" s="17"/>
      <c r="F24" s="18"/>
      <c r="G24" s="17"/>
      <c r="H24" s="18"/>
      <c r="I24" s="17"/>
      <c r="J24" s="18"/>
      <c r="K24" s="17"/>
      <c r="L24" s="18"/>
    </row>
    <row r="25" s="1" customFormat="1" ht="15" spans="1:12">
      <c r="A25" s="2"/>
      <c r="B25" s="19" t="s">
        <v>76</v>
      </c>
      <c r="C25" s="15"/>
      <c r="D25" s="16">
        <f>SUM(D26*20%)</f>
        <v>3400</v>
      </c>
      <c r="E25" s="17"/>
      <c r="F25" s="18"/>
      <c r="G25" s="17"/>
      <c r="H25" s="18"/>
      <c r="I25" s="17"/>
      <c r="J25" s="18"/>
      <c r="K25" s="17"/>
      <c r="L25" s="18"/>
    </row>
    <row r="26" s="1" customFormat="1" ht="15.75" spans="1:12">
      <c r="A26" s="2"/>
      <c r="B26" s="14" t="s">
        <v>68</v>
      </c>
      <c r="C26" s="15"/>
      <c r="D26" s="20">
        <v>17000</v>
      </c>
      <c r="E26" s="17"/>
      <c r="F26" s="18"/>
      <c r="G26" s="17"/>
      <c r="H26" s="18"/>
      <c r="I26" s="17"/>
      <c r="J26" s="18"/>
      <c r="K26" s="17"/>
      <c r="L26" s="18"/>
    </row>
    <row r="27" s="1" customFormat="1" ht="15.75" spans="1:12">
      <c r="A27" s="2"/>
      <c r="B27" s="21" t="s">
        <v>79</v>
      </c>
      <c r="C27" s="22">
        <v>0.09</v>
      </c>
      <c r="D27" s="10">
        <f>4700000*C27</f>
        <v>423000</v>
      </c>
      <c r="E27" s="13">
        <v>0.03</v>
      </c>
      <c r="F27" s="10">
        <f>1600000*E27</f>
        <v>48000</v>
      </c>
      <c r="G27" s="13"/>
      <c r="H27" s="10"/>
      <c r="I27" s="13"/>
      <c r="J27" s="10"/>
      <c r="K27" s="13">
        <v>0.12</v>
      </c>
      <c r="L27" s="10">
        <f>146000*K27</f>
        <v>17520</v>
      </c>
    </row>
    <row r="28" s="1" customFormat="1" ht="15.75" spans="1:12">
      <c r="A28" s="2"/>
      <c r="B28" s="21" t="s">
        <v>80</v>
      </c>
      <c r="C28" s="22">
        <v>0.12</v>
      </c>
      <c r="D28" s="10">
        <f t="shared" ref="D28:D35" si="0">4700000*C28</f>
        <v>564000</v>
      </c>
      <c r="E28" s="13">
        <v>0.17</v>
      </c>
      <c r="F28" s="10">
        <f t="shared" ref="F28:F35" si="1">1600000*E28</f>
        <v>272000</v>
      </c>
      <c r="G28" s="13">
        <v>0.02</v>
      </c>
      <c r="H28" s="10">
        <f t="shared" ref="H28:H35" si="2">140000*G28</f>
        <v>2800</v>
      </c>
      <c r="I28" s="13">
        <v>0.02</v>
      </c>
      <c r="J28" s="10">
        <f>61000*I28</f>
        <v>1220</v>
      </c>
      <c r="K28" s="13">
        <v>0.05</v>
      </c>
      <c r="L28" s="10">
        <f t="shared" ref="L28:L34" si="3">146000*K28</f>
        <v>7300</v>
      </c>
    </row>
    <row r="29" s="1" customFormat="1" ht="15.75" spans="1:12">
      <c r="A29" s="2"/>
      <c r="B29" s="21" t="s">
        <v>81</v>
      </c>
      <c r="C29" s="22">
        <v>0.15</v>
      </c>
      <c r="D29" s="10">
        <f t="shared" si="0"/>
        <v>705000</v>
      </c>
      <c r="E29" s="13">
        <v>0.02</v>
      </c>
      <c r="F29" s="10">
        <f t="shared" si="1"/>
        <v>32000</v>
      </c>
      <c r="G29" s="13">
        <v>0.01</v>
      </c>
      <c r="H29" s="10">
        <f t="shared" si="2"/>
        <v>1400</v>
      </c>
      <c r="I29" s="13"/>
      <c r="J29" s="10"/>
      <c r="K29" s="13">
        <v>0.17</v>
      </c>
      <c r="L29" s="10">
        <f t="shared" si="3"/>
        <v>24820</v>
      </c>
    </row>
    <row r="30" s="1" customFormat="1" ht="45.75" spans="1:12">
      <c r="A30" s="2"/>
      <c r="B30" s="21" t="s">
        <v>82</v>
      </c>
      <c r="C30" s="22">
        <v>0.02</v>
      </c>
      <c r="D30" s="10">
        <f t="shared" si="0"/>
        <v>94000</v>
      </c>
      <c r="E30" s="13">
        <v>0.01</v>
      </c>
      <c r="F30" s="10">
        <f t="shared" si="1"/>
        <v>16000</v>
      </c>
      <c r="G30" s="13">
        <v>0.01</v>
      </c>
      <c r="H30" s="10">
        <f t="shared" si="2"/>
        <v>1400</v>
      </c>
      <c r="I30" s="13">
        <v>0.06</v>
      </c>
      <c r="J30" s="10">
        <f>61000*I30</f>
        <v>3660</v>
      </c>
      <c r="K30" s="13">
        <v>0.07</v>
      </c>
      <c r="L30" s="10">
        <f t="shared" si="3"/>
        <v>10220</v>
      </c>
    </row>
    <row r="31" s="1" customFormat="1" ht="45.75" spans="1:12">
      <c r="A31" s="2"/>
      <c r="B31" s="21" t="s">
        <v>83</v>
      </c>
      <c r="C31" s="22">
        <v>0.06</v>
      </c>
      <c r="D31" s="10">
        <f t="shared" si="0"/>
        <v>282000</v>
      </c>
      <c r="E31" s="13">
        <v>0.01</v>
      </c>
      <c r="F31" s="10">
        <f t="shared" si="1"/>
        <v>16000</v>
      </c>
      <c r="G31" s="13">
        <v>0.03</v>
      </c>
      <c r="H31" s="10">
        <f t="shared" si="2"/>
        <v>4200</v>
      </c>
      <c r="I31" s="13"/>
      <c r="J31" s="10"/>
      <c r="K31" s="13">
        <v>0.01</v>
      </c>
      <c r="L31" s="10">
        <f t="shared" si="3"/>
        <v>1460</v>
      </c>
    </row>
    <row r="32" s="1" customFormat="1" ht="15.75" spans="1:12">
      <c r="A32" s="2"/>
      <c r="B32" s="21" t="s">
        <v>84</v>
      </c>
      <c r="C32" s="22">
        <v>0.07</v>
      </c>
      <c r="D32" s="10">
        <f t="shared" si="0"/>
        <v>329000</v>
      </c>
      <c r="E32" s="13">
        <v>0.04</v>
      </c>
      <c r="F32" s="10">
        <f t="shared" si="1"/>
        <v>64000</v>
      </c>
      <c r="G32" s="13">
        <v>0.01</v>
      </c>
      <c r="H32" s="10">
        <f t="shared" si="2"/>
        <v>1400</v>
      </c>
      <c r="I32" s="13">
        <v>0.05</v>
      </c>
      <c r="J32" s="10">
        <f>61000*I32</f>
        <v>3050</v>
      </c>
      <c r="K32" s="13">
        <v>0.01</v>
      </c>
      <c r="L32" s="10">
        <f t="shared" si="3"/>
        <v>1460</v>
      </c>
    </row>
    <row r="33" s="1" customFormat="1" ht="15.75" spans="1:12">
      <c r="A33" s="2"/>
      <c r="B33" s="21" t="s">
        <v>85</v>
      </c>
      <c r="C33" s="22">
        <v>0.13</v>
      </c>
      <c r="D33" s="10">
        <f t="shared" si="0"/>
        <v>611000</v>
      </c>
      <c r="E33" s="13">
        <v>0.05</v>
      </c>
      <c r="F33" s="10">
        <f t="shared" si="1"/>
        <v>80000</v>
      </c>
      <c r="G33" s="13">
        <v>0.01</v>
      </c>
      <c r="H33" s="10">
        <f t="shared" si="2"/>
        <v>1400</v>
      </c>
      <c r="I33" s="13">
        <v>0.01</v>
      </c>
      <c r="J33" s="10">
        <f>61000*I33</f>
        <v>610</v>
      </c>
      <c r="K33" s="13">
        <v>0.06</v>
      </c>
      <c r="L33" s="10">
        <f t="shared" si="3"/>
        <v>8760</v>
      </c>
    </row>
    <row r="34" s="1" customFormat="1" ht="15.75" spans="1:12">
      <c r="A34" s="2"/>
      <c r="B34" s="21" t="s">
        <v>86</v>
      </c>
      <c r="C34" s="22">
        <v>0.02</v>
      </c>
      <c r="D34" s="10">
        <f t="shared" si="0"/>
        <v>94000</v>
      </c>
      <c r="E34" s="13">
        <v>0.07</v>
      </c>
      <c r="F34" s="10">
        <f t="shared" si="1"/>
        <v>112000</v>
      </c>
      <c r="G34" s="13">
        <v>0.02</v>
      </c>
      <c r="H34" s="10">
        <f t="shared" si="2"/>
        <v>2800</v>
      </c>
      <c r="I34" s="13"/>
      <c r="J34" s="10"/>
      <c r="K34" s="13">
        <v>0.07</v>
      </c>
      <c r="L34" s="10">
        <f t="shared" si="3"/>
        <v>10220</v>
      </c>
    </row>
    <row r="35" s="1" customFormat="1" ht="15.75" spans="1:12">
      <c r="A35" s="2"/>
      <c r="B35" s="21" t="s">
        <v>87</v>
      </c>
      <c r="C35" s="22">
        <v>0.06</v>
      </c>
      <c r="D35" s="10">
        <f t="shared" si="0"/>
        <v>282000</v>
      </c>
      <c r="E35" s="13">
        <v>0.02</v>
      </c>
      <c r="F35" s="10">
        <f t="shared" si="1"/>
        <v>32000</v>
      </c>
      <c r="G35" s="13">
        <v>0.01</v>
      </c>
      <c r="H35" s="10">
        <f t="shared" si="2"/>
        <v>1400</v>
      </c>
      <c r="I35" s="13">
        <v>0.01</v>
      </c>
      <c r="J35" s="10">
        <f>61000*I35</f>
        <v>610</v>
      </c>
      <c r="K35" s="13"/>
      <c r="L35" s="10"/>
    </row>
    <row r="36" s="1" customFormat="1" ht="15.75" spans="1:12">
      <c r="A36" s="2"/>
      <c r="B36" s="21" t="s">
        <v>88</v>
      </c>
      <c r="C36" s="22"/>
      <c r="D36" s="10"/>
      <c r="E36" s="13"/>
      <c r="F36" s="10"/>
      <c r="G36" s="13"/>
      <c r="H36" s="10"/>
      <c r="I36" s="13"/>
      <c r="J36" s="10"/>
      <c r="K36" s="13"/>
      <c r="L36" s="10"/>
    </row>
    <row r="37" s="1" customFormat="1" ht="30.75" spans="1:12">
      <c r="A37" s="2"/>
      <c r="B37" s="21" t="s">
        <v>89</v>
      </c>
      <c r="C37" s="22">
        <v>0.03</v>
      </c>
      <c r="D37" s="10">
        <f>4700000*C37</f>
        <v>141000</v>
      </c>
      <c r="E37" s="13">
        <v>0.05</v>
      </c>
      <c r="F37" s="10">
        <f t="shared" ref="F37:F42" si="4">1600000*E37</f>
        <v>80000</v>
      </c>
      <c r="G37" s="13">
        <v>0.03</v>
      </c>
      <c r="H37" s="10">
        <f t="shared" ref="H37:H42" si="5">140000*G37</f>
        <v>4200</v>
      </c>
      <c r="I37" s="13"/>
      <c r="J37" s="10"/>
      <c r="K37" s="13">
        <v>0.09</v>
      </c>
      <c r="L37" s="10">
        <f>146000*K37</f>
        <v>13140</v>
      </c>
    </row>
    <row r="38" s="1" customFormat="1" ht="15.75" spans="1:12">
      <c r="A38" s="2"/>
      <c r="B38" s="21" t="s">
        <v>90</v>
      </c>
      <c r="C38" s="22">
        <v>0.03</v>
      </c>
      <c r="D38" s="10">
        <f>4700000*C38</f>
        <v>141000</v>
      </c>
      <c r="E38" s="13">
        <v>0.14</v>
      </c>
      <c r="F38" s="10">
        <f t="shared" si="4"/>
        <v>224000</v>
      </c>
      <c r="G38" s="13">
        <v>0.17</v>
      </c>
      <c r="H38" s="10">
        <f t="shared" si="5"/>
        <v>23800</v>
      </c>
      <c r="I38" s="13">
        <v>0.39</v>
      </c>
      <c r="J38" s="10">
        <f>61000*I38</f>
        <v>23790</v>
      </c>
      <c r="K38" s="13">
        <v>0.05</v>
      </c>
      <c r="L38" s="10">
        <v>17520</v>
      </c>
    </row>
    <row r="39" s="1" customFormat="1" ht="15.75" spans="1:12">
      <c r="A39" s="2"/>
      <c r="B39" s="21" t="s">
        <v>91</v>
      </c>
      <c r="C39" s="22">
        <v>0.02</v>
      </c>
      <c r="D39" s="10">
        <f>4700000*C39</f>
        <v>94000</v>
      </c>
      <c r="E39" s="13">
        <v>0.06</v>
      </c>
      <c r="F39" s="10">
        <f t="shared" si="4"/>
        <v>96000</v>
      </c>
      <c r="G39" s="13">
        <v>0.42</v>
      </c>
      <c r="H39" s="10">
        <f t="shared" si="5"/>
        <v>58800</v>
      </c>
      <c r="I39" s="13">
        <v>0.03</v>
      </c>
      <c r="J39" s="10">
        <f>61000*I39</f>
        <v>1830</v>
      </c>
      <c r="K39" s="13">
        <v>0.11</v>
      </c>
      <c r="L39" s="10">
        <f>146000*K39</f>
        <v>16060</v>
      </c>
    </row>
    <row r="40" s="1" customFormat="1" ht="60.75" spans="1:12">
      <c r="A40" s="2"/>
      <c r="B40" s="21" t="s">
        <v>92</v>
      </c>
      <c r="C40" s="22">
        <v>0.07</v>
      </c>
      <c r="D40" s="10">
        <f>4700000*C40</f>
        <v>329000</v>
      </c>
      <c r="E40" s="13">
        <v>0.16</v>
      </c>
      <c r="F40" s="10">
        <f t="shared" si="4"/>
        <v>256000</v>
      </c>
      <c r="G40" s="13">
        <v>0.13</v>
      </c>
      <c r="H40" s="10">
        <f t="shared" si="5"/>
        <v>18200</v>
      </c>
      <c r="I40" s="13">
        <v>0.4</v>
      </c>
      <c r="J40" s="10">
        <f>61000*I40</f>
        <v>24400</v>
      </c>
      <c r="K40" s="13">
        <v>0.11</v>
      </c>
      <c r="L40" s="10">
        <f>146000*K40</f>
        <v>16060</v>
      </c>
    </row>
    <row r="41" s="1" customFormat="1" ht="15.75" spans="1:12">
      <c r="A41" s="2"/>
      <c r="B41" s="21" t="s">
        <v>93</v>
      </c>
      <c r="C41" s="22">
        <v>0.04</v>
      </c>
      <c r="D41" s="10">
        <f>4700000*C41</f>
        <v>188000</v>
      </c>
      <c r="E41" s="13">
        <v>0.02</v>
      </c>
      <c r="F41" s="10">
        <f t="shared" si="4"/>
        <v>32000</v>
      </c>
      <c r="G41" s="13">
        <v>0.04</v>
      </c>
      <c r="H41" s="10">
        <f t="shared" si="5"/>
        <v>5600</v>
      </c>
      <c r="I41" s="13"/>
      <c r="J41" s="10"/>
      <c r="K41" s="13">
        <v>0.01</v>
      </c>
      <c r="L41" s="10">
        <f>146000*K41</f>
        <v>1460</v>
      </c>
    </row>
    <row r="42" s="1" customFormat="1" ht="45.75" spans="1:12">
      <c r="A42" s="2"/>
      <c r="B42" s="21" t="s">
        <v>94</v>
      </c>
      <c r="C42" s="22"/>
      <c r="D42" s="10"/>
      <c r="E42" s="13">
        <v>0.11</v>
      </c>
      <c r="F42" s="10">
        <f t="shared" si="4"/>
        <v>176000</v>
      </c>
      <c r="G42" s="13">
        <v>0.08</v>
      </c>
      <c r="H42" s="10">
        <f t="shared" si="5"/>
        <v>11200</v>
      </c>
      <c r="I42" s="13"/>
      <c r="J42" s="10"/>
      <c r="K42" s="13">
        <v>0.01</v>
      </c>
      <c r="L42" s="10">
        <f>146000*K42</f>
        <v>1460</v>
      </c>
    </row>
  </sheetData>
  <mergeCells count="7">
    <mergeCell ref="C2:L2"/>
    <mergeCell ref="C3:D3"/>
    <mergeCell ref="E3:F3"/>
    <mergeCell ref="G3:H3"/>
    <mergeCell ref="I3:J3"/>
    <mergeCell ref="K3:L3"/>
    <mergeCell ref="B2:B3"/>
  </mergeCells>
  <pageMargins left="0.7" right="0.7" top="0.75" bottom="0.75" header="0.3" footer="0.3"/>
  <pageSetup paperSize="1" scale="49" orientation="portrait" horizontalDpi="360" verticalDpi="36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POT</vt:lpstr>
      <vt:lpstr>Sales Projection (Dist)</vt:lpstr>
      <vt:lpstr>Mkt Devt Activity</vt:lpstr>
      <vt:lpstr>Sales Projection</vt:lpstr>
      <vt:lpstr>Mkt Potential</vt:lpstr>
      <vt:lpstr>Hectarages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Laserna</dc:creator>
  <cp:lastModifiedBy>Marketing Assistant</cp:lastModifiedBy>
  <dcterms:created xsi:type="dcterms:W3CDTF">2026-01-31T10:01:00Z</dcterms:created>
  <dcterms:modified xsi:type="dcterms:W3CDTF">2026-02-26T02:43:51Z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6401D7C8EFBD436FAEF495DBE4A73A53_13</vt:lpwstr>
  </property>
  <property fmtid="{D5CDD505-2E9C-101B-9397-08002B2CF9AE}" pid="3" name="KSOProductBuildVer">
    <vt:lpwstr>1033-12.2.0.23196</vt:lpwstr>
  </property>
</Properties>
</file>