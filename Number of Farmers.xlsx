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000001_{7FEC5331-DADA-2B42-A015-8DE711358A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O36" i="1"/>
  <c r="N36" i="1"/>
  <c r="M36" i="1"/>
  <c r="L36" i="1"/>
  <c r="I36" i="1"/>
  <c r="H36" i="1"/>
  <c r="G36" i="1"/>
  <c r="F36" i="1"/>
  <c r="P36" i="1"/>
  <c r="E36" i="1"/>
  <c r="D36" i="1"/>
</calcChain>
</file>

<file path=xl/sharedStrings.xml><?xml version="1.0" encoding="utf-8"?>
<sst xmlns="http://schemas.openxmlformats.org/spreadsheetml/2006/main" count="49" uniqueCount="49">
  <si>
    <t>Republic of the Philippines</t>
  </si>
  <si>
    <t>Province of Zamboanga del Sur</t>
  </si>
  <si>
    <t>Municipality of Molave</t>
  </si>
  <si>
    <t>MUNICIPAL AGRICULTURE OFFICE</t>
  </si>
  <si>
    <t>Name of Barangay</t>
  </si>
  <si>
    <t>Land Area (Ha)</t>
  </si>
  <si>
    <t>Agricultural Land Area (Ha)</t>
  </si>
  <si>
    <t>Alicia</t>
  </si>
  <si>
    <t>Bag-ong Argao</t>
  </si>
  <si>
    <t>Bag-ong Ariosa</t>
  </si>
  <si>
    <t>Bag-ong Gutlang</t>
  </si>
  <si>
    <t>Blancia</t>
  </si>
  <si>
    <t>Bogo Capalaran</t>
  </si>
  <si>
    <t>Culo</t>
  </si>
  <si>
    <t>Dalaon</t>
  </si>
  <si>
    <t>Dipolo</t>
  </si>
  <si>
    <t>Dontulan</t>
  </si>
  <si>
    <t>Gonosan</t>
  </si>
  <si>
    <t>Lower Dimalinao</t>
  </si>
  <si>
    <t>Lower Dimorok</t>
  </si>
  <si>
    <t>Mabuhay</t>
  </si>
  <si>
    <t>Madasigon</t>
  </si>
  <si>
    <t>Makuguihon</t>
  </si>
  <si>
    <t>Maloloy-on</t>
  </si>
  <si>
    <t>Miligan</t>
  </si>
  <si>
    <t>Parasan</t>
  </si>
  <si>
    <t>Rizal</t>
  </si>
  <si>
    <t>Sto. Rosario</t>
  </si>
  <si>
    <t>Silangit</t>
  </si>
  <si>
    <t>Simata</t>
  </si>
  <si>
    <t>Sudlon</t>
  </si>
  <si>
    <t>Upper Dimorok</t>
  </si>
  <si>
    <t>Total</t>
  </si>
  <si>
    <t>Rice Farmers</t>
  </si>
  <si>
    <t>Corn Farmers</t>
  </si>
  <si>
    <t>Fruit Trees Farmers</t>
  </si>
  <si>
    <t>Cassava Farmers</t>
  </si>
  <si>
    <t>Total no. of Households</t>
  </si>
  <si>
    <t>Total no. of Populations</t>
  </si>
  <si>
    <t xml:space="preserve">Swine Raisers </t>
  </si>
  <si>
    <t>Commercial Poultry Raisers</t>
  </si>
  <si>
    <t>Other Livestock raisers</t>
  </si>
  <si>
    <t>Total Number of Farmers</t>
  </si>
  <si>
    <t>Total No. of RSBSA Farmers</t>
  </si>
  <si>
    <t>Source: CBMS 2023 for Households and Populations</t>
  </si>
  <si>
    <t>Total No. of non-RSBSA Farmers</t>
  </si>
  <si>
    <t>Zamboanga Peninsula, Region IX</t>
  </si>
  <si>
    <t>NUMBER OF FARMERS CY 2024</t>
  </si>
  <si>
    <t>Vegetable Farmers HH's &amp; Farmers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</si>
</sst>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  <xf numFmtId="0" fontId="2" fillId="0" borderId="2" xfId="0" applyFont="1" applyFill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P7" workbookViewId="0">
      <selection activeCell="T29" sqref="T29"/>
    </sheetView>
  </sheetViews>
  <sheetFormatPr defaultRowHeight="15" x14ac:dyDescent="0.2"/>
  <cols>
    <col min="1" max="1" width="15.46875" customWidth="1"/>
    <col min="4" max="4" width="9.01171875" style="3" customWidth="1"/>
    <col min="5" max="5" width="9.14453125" style="3" customWidth="1"/>
    <col min="6" max="6" width="7.80078125" customWidth="1"/>
    <col min="7" max="7" width="7.93359375" customWidth="1"/>
    <col min="8" max="8" width="7.93359375" style="3" customWidth="1"/>
    <col min="9" max="9" width="8.875" customWidth="1"/>
    <col min="10" max="10" width="8.47265625" customWidth="1"/>
    <col min="11" max="12" width="7.93359375" customWidth="1"/>
    <col min="13" max="13" width="12.23828125" customWidth="1"/>
    <col min="14" max="14" width="8.203125" customWidth="1"/>
    <col min="15" max="15" width="8.609375" customWidth="1"/>
  </cols>
  <sheetData>
    <row r="1" spans="1:17" x14ac:dyDescent="0.2">
      <c r="A1" s="1" t="s">
        <v>0</v>
      </c>
    </row>
    <row r="2" spans="1:17" x14ac:dyDescent="0.2">
      <c r="A2" s="1" t="s">
        <v>46</v>
      </c>
    </row>
    <row r="3" spans="1:17" x14ac:dyDescent="0.2">
      <c r="A3" s="1" t="s">
        <v>1</v>
      </c>
    </row>
    <row r="4" spans="1:17" x14ac:dyDescent="0.2">
      <c r="A4" s="1" t="s">
        <v>2</v>
      </c>
    </row>
    <row r="5" spans="1:17" x14ac:dyDescent="0.2">
      <c r="A5" s="2" t="s">
        <v>3</v>
      </c>
    </row>
    <row r="7" spans="1:17" x14ac:dyDescent="0.2">
      <c r="A7" s="4" t="s">
        <v>47</v>
      </c>
    </row>
    <row r="9" spans="1:17" ht="34.5" x14ac:dyDescent="0.2">
      <c r="A9" s="12" t="s">
        <v>4</v>
      </c>
      <c r="B9" s="12" t="s">
        <v>5</v>
      </c>
      <c r="C9" s="12" t="s">
        <v>6</v>
      </c>
      <c r="D9" s="12" t="s">
        <v>37</v>
      </c>
      <c r="E9" s="12" t="s">
        <v>38</v>
      </c>
      <c r="F9" s="13" t="s">
        <v>33</v>
      </c>
      <c r="G9" s="13" t="s">
        <v>34</v>
      </c>
      <c r="H9" s="14" t="s">
        <v>48</v>
      </c>
      <c r="I9" s="15"/>
      <c r="J9" s="13" t="s">
        <v>35</v>
      </c>
      <c r="K9" s="13" t="s">
        <v>36</v>
      </c>
      <c r="L9" s="13" t="s">
        <v>39</v>
      </c>
      <c r="M9" s="13" t="s">
        <v>40</v>
      </c>
      <c r="N9" s="13" t="s">
        <v>41</v>
      </c>
      <c r="O9" s="13" t="s">
        <v>42</v>
      </c>
      <c r="P9" s="13" t="s">
        <v>43</v>
      </c>
      <c r="Q9" s="13" t="s">
        <v>45</v>
      </c>
    </row>
    <row r="10" spans="1:17" x14ac:dyDescent="0.2">
      <c r="A10" s="5" t="s">
        <v>7</v>
      </c>
      <c r="B10" s="6">
        <v>1245.98</v>
      </c>
      <c r="C10" s="5">
        <v>809.19</v>
      </c>
      <c r="D10" s="5">
        <v>289</v>
      </c>
      <c r="E10" s="5">
        <v>1132</v>
      </c>
      <c r="F10" s="5">
        <v>5</v>
      </c>
      <c r="G10" s="5">
        <v>192</v>
      </c>
      <c r="H10" s="5">
        <v>173</v>
      </c>
      <c r="I10" s="5">
        <v>5</v>
      </c>
      <c r="J10" s="5"/>
      <c r="K10" s="5"/>
      <c r="L10" s="5">
        <v>96</v>
      </c>
      <c r="M10" s="5">
        <v>0</v>
      </c>
      <c r="N10" s="5">
        <v>178</v>
      </c>
      <c r="O10" s="5">
        <v>232</v>
      </c>
      <c r="P10" s="5">
        <v>192</v>
      </c>
      <c r="Q10" s="5">
        <v>40</v>
      </c>
    </row>
    <row r="11" spans="1:17" x14ac:dyDescent="0.2">
      <c r="A11" s="5" t="s">
        <v>8</v>
      </c>
      <c r="B11" s="6">
        <v>1001.11</v>
      </c>
      <c r="C11" s="5">
        <v>604.27</v>
      </c>
      <c r="D11" s="5">
        <v>331</v>
      </c>
      <c r="E11" s="5">
        <v>887</v>
      </c>
      <c r="F11" s="5">
        <v>0</v>
      </c>
      <c r="G11" s="5">
        <v>88</v>
      </c>
      <c r="H11" s="5">
        <v>199</v>
      </c>
      <c r="I11" s="5">
        <v>4</v>
      </c>
      <c r="J11" s="5"/>
      <c r="K11" s="5"/>
      <c r="L11" s="5">
        <v>66</v>
      </c>
      <c r="M11" s="5">
        <v>0</v>
      </c>
      <c r="N11" s="5">
        <v>140</v>
      </c>
      <c r="O11" s="5">
        <v>142</v>
      </c>
      <c r="P11" s="5">
        <v>122</v>
      </c>
      <c r="Q11" s="5">
        <v>20</v>
      </c>
    </row>
    <row r="12" spans="1:17" x14ac:dyDescent="0.2">
      <c r="A12" s="5" t="s">
        <v>9</v>
      </c>
      <c r="B12" s="6">
        <v>1085.18</v>
      </c>
      <c r="C12" s="5">
        <v>913.52</v>
      </c>
      <c r="D12" s="5">
        <v>234</v>
      </c>
      <c r="E12" s="5">
        <v>965</v>
      </c>
      <c r="F12" s="5">
        <v>18</v>
      </c>
      <c r="G12" s="5">
        <v>133</v>
      </c>
      <c r="H12" s="5">
        <v>140</v>
      </c>
      <c r="I12" s="5">
        <v>7</v>
      </c>
      <c r="J12" s="5"/>
      <c r="K12" s="5"/>
      <c r="L12" s="5">
        <v>75</v>
      </c>
      <c r="M12" s="5">
        <v>0</v>
      </c>
      <c r="N12" s="5">
        <v>152</v>
      </c>
      <c r="O12" s="5">
        <v>178</v>
      </c>
      <c r="P12" s="5">
        <v>161</v>
      </c>
      <c r="Q12" s="5">
        <v>17</v>
      </c>
    </row>
    <row r="13" spans="1:17" x14ac:dyDescent="0.2">
      <c r="A13" s="5" t="s">
        <v>10</v>
      </c>
      <c r="B13" s="6">
        <v>1440.15</v>
      </c>
      <c r="C13" s="5">
        <v>496.28</v>
      </c>
      <c r="D13" s="5">
        <v>219</v>
      </c>
      <c r="E13" s="5">
        <v>1308</v>
      </c>
      <c r="F13" s="5">
        <v>33</v>
      </c>
      <c r="G13" s="5">
        <v>140</v>
      </c>
      <c r="H13" s="5">
        <v>131</v>
      </c>
      <c r="I13" s="5">
        <v>5</v>
      </c>
      <c r="J13" s="5"/>
      <c r="K13" s="5"/>
      <c r="L13" s="5">
        <v>43</v>
      </c>
      <c r="M13" s="5">
        <v>0</v>
      </c>
      <c r="N13" s="5">
        <v>183</v>
      </c>
      <c r="O13" s="5">
        <v>183</v>
      </c>
      <c r="P13" s="5">
        <v>87</v>
      </c>
      <c r="Q13" s="5">
        <v>96</v>
      </c>
    </row>
    <row r="14" spans="1:17" x14ac:dyDescent="0.2">
      <c r="A14" s="5" t="s">
        <v>11</v>
      </c>
      <c r="B14" s="6">
        <v>835.56</v>
      </c>
      <c r="C14" s="5">
        <v>536.87</v>
      </c>
      <c r="D14" s="5">
        <v>675</v>
      </c>
      <c r="E14" s="5">
        <v>2811</v>
      </c>
      <c r="F14" s="5">
        <v>200</v>
      </c>
      <c r="G14" s="5">
        <v>0</v>
      </c>
      <c r="H14" s="5">
        <v>405</v>
      </c>
      <c r="I14" s="5">
        <v>0</v>
      </c>
      <c r="J14" s="5"/>
      <c r="K14" s="5"/>
      <c r="L14" s="5">
        <v>32</v>
      </c>
      <c r="M14" s="5">
        <v>0</v>
      </c>
      <c r="N14" s="5">
        <v>45</v>
      </c>
      <c r="O14" s="5">
        <v>200</v>
      </c>
      <c r="P14" s="5">
        <v>144</v>
      </c>
      <c r="Q14" s="5">
        <v>56</v>
      </c>
    </row>
    <row r="15" spans="1:17" x14ac:dyDescent="0.2">
      <c r="A15" s="5" t="s">
        <v>12</v>
      </c>
      <c r="B15" s="6">
        <v>739.4</v>
      </c>
      <c r="C15" s="5">
        <v>306.58</v>
      </c>
      <c r="D15" s="5">
        <v>709</v>
      </c>
      <c r="E15" s="5">
        <v>2740</v>
      </c>
      <c r="F15" s="5">
        <v>8</v>
      </c>
      <c r="G15" s="5">
        <v>29</v>
      </c>
      <c r="H15" s="5">
        <v>425</v>
      </c>
      <c r="I15" s="5">
        <v>15</v>
      </c>
      <c r="J15" s="5"/>
      <c r="K15" s="5"/>
      <c r="L15" s="5">
        <v>46</v>
      </c>
      <c r="M15" s="5">
        <v>0</v>
      </c>
      <c r="N15" s="5">
        <v>96</v>
      </c>
      <c r="O15" s="5">
        <v>96</v>
      </c>
      <c r="P15" s="5">
        <v>66</v>
      </c>
      <c r="Q15" s="5">
        <v>30</v>
      </c>
    </row>
    <row r="16" spans="1:17" x14ac:dyDescent="0.2">
      <c r="A16" s="5" t="s">
        <v>13</v>
      </c>
      <c r="B16" s="6">
        <v>890.52</v>
      </c>
      <c r="C16" s="5">
        <v>268.17</v>
      </c>
      <c r="D16" s="5">
        <v>2135</v>
      </c>
      <c r="E16" s="5">
        <v>7867</v>
      </c>
      <c r="F16" s="5">
        <v>191</v>
      </c>
      <c r="G16" s="5">
        <v>0</v>
      </c>
      <c r="H16" s="5">
        <v>107</v>
      </c>
      <c r="I16" s="5">
        <v>0</v>
      </c>
      <c r="J16" s="5"/>
      <c r="K16" s="5"/>
      <c r="L16" s="5">
        <v>43</v>
      </c>
      <c r="M16" s="5">
        <v>1</v>
      </c>
      <c r="N16" s="5">
        <v>44</v>
      </c>
      <c r="O16" s="5">
        <v>235</v>
      </c>
      <c r="P16" s="5">
        <v>168</v>
      </c>
      <c r="Q16" s="5">
        <v>67</v>
      </c>
    </row>
    <row r="17" spans="1:17" x14ac:dyDescent="0.2">
      <c r="A17" s="5" t="s">
        <v>14</v>
      </c>
      <c r="B17" s="6">
        <v>1111.6099999999999</v>
      </c>
      <c r="C17" s="5">
        <v>872.38</v>
      </c>
      <c r="D17" s="5">
        <v>558</v>
      </c>
      <c r="E17" s="5">
        <v>2070</v>
      </c>
      <c r="F17" s="5">
        <v>37</v>
      </c>
      <c r="G17" s="5">
        <v>61</v>
      </c>
      <c r="H17" s="5">
        <v>335</v>
      </c>
      <c r="I17" s="5">
        <v>3</v>
      </c>
      <c r="J17" s="5"/>
      <c r="K17" s="5"/>
      <c r="L17" s="5">
        <v>86</v>
      </c>
      <c r="M17" s="5">
        <v>3</v>
      </c>
      <c r="N17" s="5">
        <v>222</v>
      </c>
      <c r="O17" s="5">
        <v>222</v>
      </c>
      <c r="P17" s="5">
        <v>104</v>
      </c>
      <c r="Q17" s="5">
        <v>118</v>
      </c>
    </row>
    <row r="18" spans="1:17" x14ac:dyDescent="0.2">
      <c r="A18" s="5" t="s">
        <v>15</v>
      </c>
      <c r="B18" s="6">
        <v>1081.96</v>
      </c>
      <c r="C18" s="5">
        <v>484.11</v>
      </c>
      <c r="D18" s="5">
        <v>763</v>
      </c>
      <c r="E18" s="5">
        <v>3214</v>
      </c>
      <c r="F18" s="5">
        <v>200</v>
      </c>
      <c r="G18" s="5">
        <v>0</v>
      </c>
      <c r="H18" s="5">
        <v>457</v>
      </c>
      <c r="I18" s="5">
        <v>20</v>
      </c>
      <c r="J18" s="5"/>
      <c r="K18" s="5"/>
      <c r="L18" s="5">
        <v>55</v>
      </c>
      <c r="M18" s="5">
        <v>0</v>
      </c>
      <c r="N18" s="5">
        <v>80</v>
      </c>
      <c r="O18" s="5">
        <v>300</v>
      </c>
      <c r="P18" s="5">
        <v>220</v>
      </c>
      <c r="Q18" s="5">
        <v>100</v>
      </c>
    </row>
    <row r="19" spans="1:17" x14ac:dyDescent="0.2">
      <c r="A19" s="5" t="s">
        <v>16</v>
      </c>
      <c r="B19" s="6">
        <v>820.93</v>
      </c>
      <c r="C19" s="5">
        <v>480.05</v>
      </c>
      <c r="D19" s="5">
        <v>152</v>
      </c>
      <c r="E19" s="5">
        <v>685</v>
      </c>
      <c r="F19" s="5">
        <v>0</v>
      </c>
      <c r="G19" s="5">
        <v>95</v>
      </c>
      <c r="H19" s="5">
        <v>91</v>
      </c>
      <c r="I19" s="5">
        <v>2</v>
      </c>
      <c r="J19" s="5"/>
      <c r="K19" s="5"/>
      <c r="L19" s="5">
        <v>57</v>
      </c>
      <c r="M19" s="5">
        <v>0</v>
      </c>
      <c r="N19" s="5">
        <v>110</v>
      </c>
      <c r="O19" s="5">
        <v>110</v>
      </c>
      <c r="P19" s="5">
        <v>51</v>
      </c>
      <c r="Q19" s="5">
        <v>59</v>
      </c>
    </row>
    <row r="20" spans="1:17" x14ac:dyDescent="0.2">
      <c r="A20" s="5" t="s">
        <v>17</v>
      </c>
      <c r="B20" s="6">
        <v>1374.81</v>
      </c>
      <c r="C20" s="6">
        <v>1179.53</v>
      </c>
      <c r="D20" s="9">
        <v>349</v>
      </c>
      <c r="E20" s="9">
        <v>1407</v>
      </c>
      <c r="F20" s="5">
        <v>0</v>
      </c>
      <c r="G20" s="5">
        <v>128</v>
      </c>
      <c r="H20" s="5">
        <v>209</v>
      </c>
      <c r="I20" s="5">
        <v>5</v>
      </c>
      <c r="J20" s="5"/>
      <c r="K20" s="5"/>
      <c r="L20" s="5">
        <v>143</v>
      </c>
      <c r="M20" s="5">
        <v>0</v>
      </c>
      <c r="N20" s="5">
        <v>261</v>
      </c>
      <c r="O20" s="5">
        <v>261</v>
      </c>
      <c r="P20" s="5">
        <v>123</v>
      </c>
      <c r="Q20" s="5">
        <v>138</v>
      </c>
    </row>
    <row r="21" spans="1:17" x14ac:dyDescent="0.2">
      <c r="A21" s="5" t="s">
        <v>18</v>
      </c>
      <c r="B21" s="6">
        <v>787.12</v>
      </c>
      <c r="C21" s="5">
        <v>265.04000000000002</v>
      </c>
      <c r="D21" s="5">
        <v>139</v>
      </c>
      <c r="E21" s="5">
        <v>555</v>
      </c>
      <c r="F21" s="5">
        <v>25</v>
      </c>
      <c r="G21" s="5">
        <v>10</v>
      </c>
      <c r="H21" s="5">
        <v>84</v>
      </c>
      <c r="I21" s="5">
        <v>10</v>
      </c>
      <c r="J21" s="5"/>
      <c r="K21" s="5"/>
      <c r="L21" s="5">
        <v>71</v>
      </c>
      <c r="M21" s="5">
        <v>1</v>
      </c>
      <c r="N21" s="5">
        <v>117</v>
      </c>
      <c r="O21" s="5">
        <v>117</v>
      </c>
      <c r="P21" s="5">
        <v>69</v>
      </c>
      <c r="Q21" s="5">
        <v>48</v>
      </c>
    </row>
    <row r="22" spans="1:17" x14ac:dyDescent="0.2">
      <c r="A22" s="5" t="s">
        <v>19</v>
      </c>
      <c r="B22" s="6">
        <v>1284.02</v>
      </c>
      <c r="C22" s="5">
        <v>470.14</v>
      </c>
      <c r="D22" s="5">
        <v>266</v>
      </c>
      <c r="E22" s="5">
        <v>835</v>
      </c>
      <c r="F22" s="5">
        <v>0</v>
      </c>
      <c r="G22" s="5">
        <v>79</v>
      </c>
      <c r="H22" s="5">
        <v>160</v>
      </c>
      <c r="I22" s="5">
        <v>0</v>
      </c>
      <c r="J22" s="5"/>
      <c r="K22" s="5"/>
      <c r="L22" s="5">
        <v>122</v>
      </c>
      <c r="M22" s="5">
        <v>0</v>
      </c>
      <c r="N22" s="5">
        <v>135</v>
      </c>
      <c r="O22" s="5">
        <v>155</v>
      </c>
      <c r="P22" s="5">
        <v>135</v>
      </c>
      <c r="Q22" s="5">
        <v>20</v>
      </c>
    </row>
    <row r="23" spans="1:17" x14ac:dyDescent="0.2">
      <c r="A23" s="5" t="s">
        <v>20</v>
      </c>
      <c r="B23" s="6">
        <v>925.16</v>
      </c>
      <c r="C23" s="5">
        <v>590.91</v>
      </c>
      <c r="D23" s="5">
        <v>426</v>
      </c>
      <c r="E23" s="5">
        <v>1726</v>
      </c>
      <c r="F23" s="5">
        <v>35</v>
      </c>
      <c r="G23" s="5">
        <v>48</v>
      </c>
      <c r="H23" s="5">
        <v>256</v>
      </c>
      <c r="I23" s="5">
        <v>3</v>
      </c>
      <c r="J23" s="5"/>
      <c r="K23" s="5"/>
      <c r="L23" s="5">
        <v>68</v>
      </c>
      <c r="M23" s="5">
        <v>1</v>
      </c>
      <c r="N23" s="5">
        <v>99</v>
      </c>
      <c r="O23" s="5">
        <v>97</v>
      </c>
      <c r="P23" s="5">
        <v>63</v>
      </c>
      <c r="Q23" s="5">
        <v>34</v>
      </c>
    </row>
    <row r="24" spans="1:17" x14ac:dyDescent="0.2">
      <c r="A24" s="5" t="s">
        <v>21</v>
      </c>
      <c r="B24" s="6">
        <v>48.15</v>
      </c>
      <c r="C24" s="5"/>
      <c r="D24" s="5">
        <v>1806</v>
      </c>
      <c r="E24" s="5">
        <v>5028</v>
      </c>
      <c r="F24" s="5">
        <v>0</v>
      </c>
      <c r="G24" s="5">
        <v>0</v>
      </c>
      <c r="H24" s="5">
        <v>90</v>
      </c>
      <c r="I24" s="5">
        <v>5</v>
      </c>
      <c r="J24" s="5"/>
      <c r="K24" s="5"/>
      <c r="L24" s="5">
        <v>9</v>
      </c>
      <c r="M24" s="5">
        <v>0</v>
      </c>
      <c r="N24" s="5">
        <v>4</v>
      </c>
      <c r="O24" s="5">
        <v>129</v>
      </c>
      <c r="P24" s="5">
        <v>111</v>
      </c>
      <c r="Q24" s="5">
        <v>18</v>
      </c>
    </row>
    <row r="25" spans="1:17" x14ac:dyDescent="0.2">
      <c r="A25" s="5" t="s">
        <v>22</v>
      </c>
      <c r="B25" s="6">
        <v>48.36</v>
      </c>
      <c r="C25" s="5"/>
      <c r="D25" s="5">
        <v>1109</v>
      </c>
      <c r="E25" s="5">
        <v>4072</v>
      </c>
      <c r="F25" s="5">
        <v>0</v>
      </c>
      <c r="G25" s="5">
        <v>0</v>
      </c>
      <c r="H25" s="5">
        <v>55</v>
      </c>
      <c r="I25" s="5">
        <v>0</v>
      </c>
      <c r="J25" s="5"/>
      <c r="K25" s="5"/>
      <c r="L25" s="5">
        <v>50</v>
      </c>
      <c r="M25" s="5">
        <v>0</v>
      </c>
      <c r="N25" s="5">
        <v>52</v>
      </c>
      <c r="O25" s="5">
        <v>148</v>
      </c>
      <c r="P25" s="5">
        <v>128</v>
      </c>
      <c r="Q25" s="5">
        <v>20</v>
      </c>
    </row>
    <row r="26" spans="1:17" x14ac:dyDescent="0.2">
      <c r="A26" s="5" t="s">
        <v>23</v>
      </c>
      <c r="B26" s="6">
        <v>26.17</v>
      </c>
      <c r="C26" s="5"/>
      <c r="D26" s="5">
        <v>1117</v>
      </c>
      <c r="E26" s="5">
        <v>4088</v>
      </c>
      <c r="F26" s="5">
        <v>0</v>
      </c>
      <c r="G26" s="5">
        <v>0</v>
      </c>
      <c r="H26" s="5">
        <v>55</v>
      </c>
      <c r="I26" s="5">
        <v>0</v>
      </c>
      <c r="J26" s="5"/>
      <c r="K26" s="5"/>
      <c r="L26" s="5">
        <v>25</v>
      </c>
      <c r="M26" s="5">
        <v>0</v>
      </c>
      <c r="N26" s="5">
        <v>31</v>
      </c>
      <c r="O26" s="5">
        <v>68</v>
      </c>
      <c r="P26" s="5">
        <v>58</v>
      </c>
      <c r="Q26" s="5">
        <v>10</v>
      </c>
    </row>
    <row r="27" spans="1:17" x14ac:dyDescent="0.2">
      <c r="A27" s="5" t="s">
        <v>24</v>
      </c>
      <c r="B27" s="6">
        <v>1034.01</v>
      </c>
      <c r="C27" s="5">
        <v>498.08</v>
      </c>
      <c r="D27" s="5">
        <v>591</v>
      </c>
      <c r="E27" s="5">
        <v>2249</v>
      </c>
      <c r="F27" s="5">
        <v>197</v>
      </c>
      <c r="G27" s="5">
        <v>0</v>
      </c>
      <c r="H27" s="5">
        <v>355</v>
      </c>
      <c r="I27" s="5">
        <v>5</v>
      </c>
      <c r="J27" s="5"/>
      <c r="K27" s="5"/>
      <c r="L27" s="5">
        <v>99</v>
      </c>
      <c r="M27" s="5">
        <v>0</v>
      </c>
      <c r="N27" s="5">
        <v>105</v>
      </c>
      <c r="O27" s="5">
        <v>197</v>
      </c>
      <c r="P27" s="5">
        <v>176</v>
      </c>
      <c r="Q27" s="5">
        <v>21</v>
      </c>
    </row>
    <row r="28" spans="1:17" x14ac:dyDescent="0.2">
      <c r="A28" s="5" t="s">
        <v>25</v>
      </c>
      <c r="B28" s="6">
        <v>863.37</v>
      </c>
      <c r="C28" s="5">
        <v>726.65</v>
      </c>
      <c r="D28" s="5">
        <v>340</v>
      </c>
      <c r="E28" s="5">
        <v>1495</v>
      </c>
      <c r="F28" s="5">
        <v>48</v>
      </c>
      <c r="G28" s="5">
        <v>149</v>
      </c>
      <c r="H28" s="5">
        <v>204</v>
      </c>
      <c r="I28" s="5">
        <v>8</v>
      </c>
      <c r="J28" s="5"/>
      <c r="K28" s="5"/>
      <c r="L28" s="5">
        <v>132</v>
      </c>
      <c r="M28" s="5">
        <v>1</v>
      </c>
      <c r="N28" s="5">
        <v>183</v>
      </c>
      <c r="O28" s="5">
        <v>197</v>
      </c>
      <c r="P28" s="5">
        <v>97</v>
      </c>
      <c r="Q28" s="5">
        <v>100</v>
      </c>
    </row>
    <row r="29" spans="1:17" x14ac:dyDescent="0.2">
      <c r="A29" s="5" t="s">
        <v>26</v>
      </c>
      <c r="B29" s="6">
        <v>440.45</v>
      </c>
      <c r="C29" s="5">
        <v>415.25</v>
      </c>
      <c r="D29" s="5">
        <v>442</v>
      </c>
      <c r="E29" s="5">
        <v>1685</v>
      </c>
      <c r="F29" s="5">
        <v>180</v>
      </c>
      <c r="G29" s="5">
        <v>0</v>
      </c>
      <c r="H29" s="5">
        <v>66</v>
      </c>
      <c r="I29" s="5">
        <v>0</v>
      </c>
      <c r="J29" s="5"/>
      <c r="K29" s="5"/>
      <c r="L29" s="5">
        <v>45</v>
      </c>
      <c r="M29" s="5">
        <v>0</v>
      </c>
      <c r="N29" s="5">
        <v>52</v>
      </c>
      <c r="O29" s="5">
        <v>180</v>
      </c>
      <c r="P29" s="5">
        <v>112</v>
      </c>
      <c r="Q29" s="5">
        <v>68</v>
      </c>
    </row>
    <row r="30" spans="1:17" x14ac:dyDescent="0.2">
      <c r="A30" s="5" t="s">
        <v>27</v>
      </c>
      <c r="B30" s="6">
        <v>695.19</v>
      </c>
      <c r="C30" s="5">
        <v>415.56</v>
      </c>
      <c r="D30" s="5">
        <v>127</v>
      </c>
      <c r="E30" s="5">
        <v>372</v>
      </c>
      <c r="F30" s="5">
        <v>0</v>
      </c>
      <c r="G30" s="5">
        <v>45</v>
      </c>
      <c r="H30" s="5">
        <v>76</v>
      </c>
      <c r="I30" s="5">
        <v>5</v>
      </c>
      <c r="J30" s="5"/>
      <c r="K30" s="5"/>
      <c r="L30" s="5">
        <v>41</v>
      </c>
      <c r="M30" s="5">
        <v>0</v>
      </c>
      <c r="N30" s="5">
        <v>94</v>
      </c>
      <c r="O30" s="5">
        <v>94</v>
      </c>
      <c r="P30" s="5">
        <v>48</v>
      </c>
      <c r="Q30" s="5">
        <v>46</v>
      </c>
    </row>
    <row r="31" spans="1:17" x14ac:dyDescent="0.2">
      <c r="A31" s="5" t="s">
        <v>28</v>
      </c>
      <c r="B31" s="6">
        <v>670.84</v>
      </c>
      <c r="C31" s="5">
        <v>517.55999999999995</v>
      </c>
      <c r="D31" s="5">
        <v>178</v>
      </c>
      <c r="E31" s="5">
        <v>717</v>
      </c>
      <c r="F31" s="5">
        <v>0</v>
      </c>
      <c r="G31" s="5">
        <v>141</v>
      </c>
      <c r="H31" s="5">
        <v>107</v>
      </c>
      <c r="I31" s="5">
        <v>3</v>
      </c>
      <c r="J31" s="5"/>
      <c r="K31" s="5"/>
      <c r="L31" s="5">
        <v>66</v>
      </c>
      <c r="M31" s="5">
        <v>0</v>
      </c>
      <c r="N31" s="5">
        <v>121</v>
      </c>
      <c r="O31" s="5">
        <v>154</v>
      </c>
      <c r="P31" s="5">
        <v>96</v>
      </c>
      <c r="Q31" s="5">
        <v>58</v>
      </c>
    </row>
    <row r="32" spans="1:17" x14ac:dyDescent="0.2">
      <c r="A32" s="5" t="s">
        <v>29</v>
      </c>
      <c r="B32" s="6">
        <v>1316.5</v>
      </c>
      <c r="C32" s="6">
        <v>1312.8</v>
      </c>
      <c r="D32" s="9">
        <v>393</v>
      </c>
      <c r="E32" s="9">
        <v>1539</v>
      </c>
      <c r="F32" s="5">
        <v>4</v>
      </c>
      <c r="G32" s="5">
        <v>342</v>
      </c>
      <c r="H32" s="5">
        <v>236</v>
      </c>
      <c r="I32" s="5">
        <v>10</v>
      </c>
      <c r="J32" s="5"/>
      <c r="K32" s="5"/>
      <c r="L32" s="5">
        <v>190</v>
      </c>
      <c r="M32" s="5">
        <v>0</v>
      </c>
      <c r="N32" s="5">
        <v>200</v>
      </c>
      <c r="O32" s="5">
        <v>356</v>
      </c>
      <c r="P32" s="5">
        <v>199</v>
      </c>
      <c r="Q32" s="5">
        <v>157</v>
      </c>
    </row>
    <row r="33" spans="1:17" x14ac:dyDescent="0.2">
      <c r="A33" s="5" t="s">
        <v>30</v>
      </c>
      <c r="B33" s="6">
        <v>881.11</v>
      </c>
      <c r="C33" s="5">
        <v>320.39999999999998</v>
      </c>
      <c r="D33" s="5">
        <v>791</v>
      </c>
      <c r="E33" s="5">
        <v>3378</v>
      </c>
      <c r="F33" s="5">
        <v>127</v>
      </c>
      <c r="G33" s="5">
        <v>0</v>
      </c>
      <c r="H33" s="5">
        <v>316</v>
      </c>
      <c r="I33" s="5">
        <v>1</v>
      </c>
      <c r="J33" s="5"/>
      <c r="K33" s="5"/>
      <c r="L33" s="5">
        <v>73</v>
      </c>
      <c r="M33" s="5">
        <v>0</v>
      </c>
      <c r="N33" s="5">
        <v>77</v>
      </c>
      <c r="O33" s="5">
        <v>128</v>
      </c>
      <c r="P33" s="5">
        <v>114</v>
      </c>
      <c r="Q33" s="5">
        <v>14</v>
      </c>
    </row>
    <row r="34" spans="1:17" x14ac:dyDescent="0.2">
      <c r="A34" s="5" t="s">
        <v>31</v>
      </c>
      <c r="B34" s="6">
        <v>1037.3399999999999</v>
      </c>
      <c r="C34" s="5">
        <v>626.58000000000004</v>
      </c>
      <c r="D34" s="5">
        <v>299</v>
      </c>
      <c r="E34" s="5">
        <v>1067</v>
      </c>
      <c r="F34" s="5">
        <v>0</v>
      </c>
      <c r="G34" s="5">
        <v>112</v>
      </c>
      <c r="H34" s="5">
        <v>179</v>
      </c>
      <c r="I34" s="5">
        <v>3</v>
      </c>
      <c r="J34" s="5"/>
      <c r="K34" s="5"/>
      <c r="L34" s="5">
        <v>61</v>
      </c>
      <c r="M34" s="5">
        <v>0</v>
      </c>
      <c r="N34" s="5">
        <v>265</v>
      </c>
      <c r="O34" s="5">
        <v>265</v>
      </c>
      <c r="P34" s="5">
        <v>110</v>
      </c>
      <c r="Q34" s="5">
        <v>155</v>
      </c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 t="s">
        <v>32</v>
      </c>
      <c r="B36" s="7">
        <v>21685.000000000004</v>
      </c>
      <c r="C36" s="7">
        <v>13109.919999999998</v>
      </c>
      <c r="D36" s="10">
        <f t="shared" ref="D36:I36" si="0">SUM(D10:D35)</f>
        <v>14438</v>
      </c>
      <c r="E36" s="10">
        <f t="shared" si="0"/>
        <v>53892</v>
      </c>
      <c r="F36" s="11">
        <f t="shared" si="0"/>
        <v>1308</v>
      </c>
      <c r="G36" s="11">
        <f t="shared" si="0"/>
        <v>1792</v>
      </c>
      <c r="H36" s="11">
        <f t="shared" si="0"/>
        <v>4911</v>
      </c>
      <c r="I36" s="11">
        <f t="shared" si="0"/>
        <v>119</v>
      </c>
      <c r="J36" s="11"/>
      <c r="K36" s="11"/>
      <c r="L36" s="11">
        <f>SUM(L10:L35)</f>
        <v>1794</v>
      </c>
      <c r="M36" s="11">
        <f>SUM(M10:M35)</f>
        <v>7</v>
      </c>
      <c r="N36" s="11">
        <f>SUM(N10:N35)</f>
        <v>3046</v>
      </c>
      <c r="O36" s="11">
        <f>SUM(O10:O35)</f>
        <v>4444</v>
      </c>
      <c r="P36" s="11">
        <f>SUM(P10:P35)</f>
        <v>2954</v>
      </c>
      <c r="Q36" s="11">
        <f>SUM(Q10:Q35)</f>
        <v>1510</v>
      </c>
    </row>
    <row r="37" spans="1:17" x14ac:dyDescent="0.2">
      <c r="A37" s="8" t="s">
        <v>44</v>
      </c>
    </row>
  </sheetData>
  <mergeCells count="1">
    <mergeCell ref="H9:I9"/>
  </mergeCells>
  <pageMargins left="0.31496062992125984" right="0.11811023622047245" top="0.15748031496062992" bottom="0.15748031496062992" header="0.31496062992125984" footer="0.31496062992125984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2025-04-30T03:05:27Z</dcterms:modified>
</cp:coreProperties>
</file>